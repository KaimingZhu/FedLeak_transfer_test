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实验结果\"/>
    </mc:Choice>
  </mc:AlternateContent>
  <xr:revisionPtr revIDLastSave="0" documentId="13_ncr:1_{A3F38168-C316-4135-AE79-3C7F38576796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PSNR Details (max-of-5)" sheetId="1" r:id="rId1"/>
    <sheet name="PSNR Details (median-of-5)" sheetId="2" r:id="rId2"/>
    <sheet name="PSNR Details (average-of-5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3" l="1"/>
  <c r="L10" i="3"/>
  <c r="K15" i="3"/>
  <c r="L15" i="3"/>
  <c r="K20" i="3"/>
  <c r="L20" i="3"/>
  <c r="N10" i="3" s="1"/>
  <c r="K25" i="3"/>
  <c r="M10" i="3" s="1"/>
  <c r="L25" i="3"/>
  <c r="K30" i="3"/>
  <c r="L30" i="3"/>
  <c r="K35" i="3"/>
  <c r="L35" i="3"/>
  <c r="K40" i="3"/>
  <c r="L40" i="3"/>
  <c r="K45" i="3"/>
  <c r="L45" i="3"/>
  <c r="K50" i="3"/>
  <c r="L50" i="3"/>
  <c r="K55" i="3"/>
  <c r="L55" i="3"/>
  <c r="K60" i="3"/>
  <c r="L60" i="3"/>
  <c r="K65" i="3"/>
  <c r="L65" i="3"/>
  <c r="N60" i="3" s="1"/>
  <c r="K70" i="3"/>
  <c r="M60" i="3" s="1"/>
  <c r="L70" i="3"/>
  <c r="K75" i="3"/>
  <c r="L75" i="3"/>
  <c r="K80" i="3"/>
  <c r="L80" i="3"/>
  <c r="K85" i="3"/>
  <c r="L85" i="3"/>
  <c r="K90" i="3"/>
  <c r="L90" i="3"/>
  <c r="K95" i="3"/>
  <c r="L95" i="3"/>
  <c r="K100" i="3"/>
  <c r="L100" i="3"/>
  <c r="K105" i="3"/>
  <c r="L105" i="3"/>
  <c r="L5" i="3"/>
  <c r="K5" i="3"/>
  <c r="N5" i="3"/>
  <c r="K55" i="2"/>
  <c r="L55" i="2"/>
  <c r="L55" i="1"/>
  <c r="K55" i="1"/>
  <c r="K105" i="1"/>
  <c r="L105" i="1"/>
  <c r="L105" i="2"/>
  <c r="K105" i="2"/>
  <c r="K10" i="2"/>
  <c r="L10" i="2"/>
  <c r="K15" i="2"/>
  <c r="L15" i="2"/>
  <c r="K20" i="2"/>
  <c r="L20" i="2"/>
  <c r="K25" i="2"/>
  <c r="L25" i="2"/>
  <c r="K30" i="2"/>
  <c r="L30" i="2"/>
  <c r="K35" i="2"/>
  <c r="L35" i="2"/>
  <c r="K40" i="2"/>
  <c r="L40" i="2"/>
  <c r="K45" i="2"/>
  <c r="L45" i="2"/>
  <c r="K50" i="2"/>
  <c r="L50" i="2"/>
  <c r="K60" i="2"/>
  <c r="L60" i="2"/>
  <c r="K65" i="2"/>
  <c r="L65" i="2"/>
  <c r="K70" i="2"/>
  <c r="L70" i="2"/>
  <c r="K75" i="2"/>
  <c r="L75" i="2"/>
  <c r="K80" i="2"/>
  <c r="L80" i="2"/>
  <c r="K85" i="2"/>
  <c r="L85" i="2"/>
  <c r="K90" i="2"/>
  <c r="L90" i="2"/>
  <c r="K95" i="2"/>
  <c r="L95" i="2"/>
  <c r="K100" i="2"/>
  <c r="L100" i="2"/>
  <c r="L5" i="2"/>
  <c r="K5" i="2"/>
  <c r="N5" i="1"/>
  <c r="M5" i="1"/>
  <c r="K10" i="1"/>
  <c r="M10" i="1" s="1"/>
  <c r="L10" i="1"/>
  <c r="K15" i="1"/>
  <c r="L15" i="1"/>
  <c r="K20" i="1"/>
  <c r="L20" i="1"/>
  <c r="K25" i="1"/>
  <c r="L25" i="1"/>
  <c r="K30" i="1"/>
  <c r="L30" i="1"/>
  <c r="K35" i="1"/>
  <c r="L35" i="1"/>
  <c r="K40" i="1"/>
  <c r="L40" i="1"/>
  <c r="K45" i="1"/>
  <c r="L45" i="1"/>
  <c r="K50" i="1"/>
  <c r="L50" i="1"/>
  <c r="K60" i="1"/>
  <c r="M60" i="1" s="1"/>
  <c r="L60" i="1"/>
  <c r="N60" i="1" s="1"/>
  <c r="K65" i="1"/>
  <c r="L65" i="1"/>
  <c r="K70" i="1"/>
  <c r="L70" i="1"/>
  <c r="K75" i="1"/>
  <c r="L75" i="1"/>
  <c r="K80" i="1"/>
  <c r="L80" i="1"/>
  <c r="K85" i="1"/>
  <c r="L85" i="1"/>
  <c r="K90" i="1"/>
  <c r="L90" i="1"/>
  <c r="K95" i="1"/>
  <c r="L95" i="1"/>
  <c r="K100" i="1"/>
  <c r="L100" i="1"/>
  <c r="L5" i="1"/>
  <c r="K5" i="1"/>
  <c r="O5" i="1" s="1"/>
  <c r="O5" i="3" l="1"/>
  <c r="P5" i="3"/>
  <c r="M5" i="3"/>
  <c r="M10" i="2"/>
  <c r="N10" i="2"/>
  <c r="N10" i="1"/>
  <c r="P5" i="1"/>
  <c r="N60" i="2"/>
  <c r="M60" i="2"/>
  <c r="O5" i="2"/>
  <c r="P5" i="2"/>
  <c r="M5" i="2"/>
  <c r="N5" i="2"/>
</calcChain>
</file>

<file path=xl/sharedStrings.xml><?xml version="1.0" encoding="utf-8"?>
<sst xmlns="http://schemas.openxmlformats.org/spreadsheetml/2006/main" count="126" uniqueCount="19">
  <si>
    <t>Type</t>
    <phoneticPr fontId="1" type="noConversion"/>
  </si>
  <si>
    <t>Sanity Check</t>
    <phoneticPr fontId="1" type="noConversion"/>
  </si>
  <si>
    <t>Time  1</t>
    <phoneticPr fontId="1" type="noConversion"/>
  </si>
  <si>
    <t>Time  2</t>
    <phoneticPr fontId="1" type="noConversion"/>
  </si>
  <si>
    <t>Time  3</t>
    <phoneticPr fontId="1" type="noConversion"/>
  </si>
  <si>
    <t>Time  4</t>
    <phoneticPr fontId="1" type="noConversion"/>
  </si>
  <si>
    <t>Time  5</t>
    <phoneticPr fontId="1" type="noConversion"/>
  </si>
  <si>
    <t xml:space="preserve">ImageNet
</t>
    <phoneticPr fontId="1" type="noConversion"/>
  </si>
  <si>
    <t>Evaluation Time</t>
    <phoneticPr fontId="1" type="noConversion"/>
  </si>
  <si>
    <t>Random
Sampling</t>
    <phoneticPr fontId="1" type="noConversion"/>
  </si>
  <si>
    <t>Fix
Sampling</t>
    <phoneticPr fontId="1" type="noConversion"/>
  </si>
  <si>
    <t>LC25000</t>
    <phoneticPr fontId="1" type="noConversion"/>
  </si>
  <si>
    <t>Resize</t>
    <phoneticPr fontId="1" type="noConversion"/>
  </si>
  <si>
    <t>CenterCrop</t>
    <phoneticPr fontId="1" type="noConversion"/>
  </si>
  <si>
    <t>Max Values of 5</t>
    <phoneticPr fontId="1" type="noConversion"/>
  </si>
  <si>
    <t>Median Values of 5</t>
    <phoneticPr fontId="1" type="noConversion"/>
  </si>
  <si>
    <t>Case wise (average)</t>
    <phoneticPr fontId="1" type="noConversion"/>
  </si>
  <si>
    <t>Summary (average)</t>
    <phoneticPr fontId="1" type="noConversion"/>
  </si>
  <si>
    <t>Average Values of 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</si>
</sst>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rgb="FFC00000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9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O5" sqref="O5:O109"/>
    </sheetView>
  </sheetViews>
  <sheetFormatPr defaultRowHeight="15.75" x14ac:dyDescent="0.2"/>
  <cols>
    <col min="1" max="6" width="9" style="1"/>
    <col min="7" max="7" width="15.75" style="17" customWidth="1"/>
    <col min="8" max="8" width="17.25" style="17" customWidth="1"/>
    <col min="9" max="10" width="9" style="14"/>
    <col min="11" max="12" width="15.875" style="1" customWidth="1"/>
    <col min="13" max="16" width="17.75" style="1" customWidth="1"/>
    <col min="17" max="16384" width="9" style="1"/>
  </cols>
  <sheetData>
    <row r="1" spans="1:16" ht="14.25" customHeight="1" x14ac:dyDescent="0.2">
      <c r="A1" s="2" t="s">
        <v>0</v>
      </c>
      <c r="B1" s="2"/>
      <c r="C1" s="2"/>
      <c r="D1" s="2"/>
      <c r="E1" s="2" t="s">
        <v>8</v>
      </c>
      <c r="F1" s="2"/>
      <c r="G1" s="2" t="s">
        <v>12</v>
      </c>
      <c r="H1" s="2" t="s">
        <v>13</v>
      </c>
      <c r="K1" s="18" t="s">
        <v>14</v>
      </c>
      <c r="L1" s="18"/>
      <c r="M1" s="18" t="s">
        <v>16</v>
      </c>
      <c r="N1" s="18"/>
      <c r="O1" s="18" t="s">
        <v>17</v>
      </c>
      <c r="P1" s="18"/>
    </row>
    <row r="2" spans="1:16" ht="14.25" customHeight="1" x14ac:dyDescent="0.2">
      <c r="A2" s="2"/>
      <c r="B2" s="2"/>
      <c r="C2" s="2"/>
      <c r="D2" s="2"/>
      <c r="E2" s="2"/>
      <c r="F2" s="2"/>
      <c r="G2" s="2"/>
      <c r="H2" s="2"/>
      <c r="K2" s="18"/>
      <c r="L2" s="18"/>
      <c r="M2" s="18"/>
      <c r="N2" s="18"/>
      <c r="O2" s="18"/>
      <c r="P2" s="18"/>
    </row>
    <row r="3" spans="1:16" ht="14.25" customHeight="1" x14ac:dyDescent="0.2">
      <c r="A3" s="2"/>
      <c r="B3" s="2"/>
      <c r="C3" s="2"/>
      <c r="D3" s="2"/>
      <c r="E3" s="2"/>
      <c r="F3" s="2"/>
      <c r="G3" s="2"/>
      <c r="H3" s="2"/>
      <c r="K3" s="18" t="s">
        <v>12</v>
      </c>
      <c r="L3" s="18" t="s">
        <v>13</v>
      </c>
      <c r="M3" s="18" t="s">
        <v>12</v>
      </c>
      <c r="N3" s="18" t="s">
        <v>13</v>
      </c>
      <c r="O3" s="18" t="s">
        <v>12</v>
      </c>
      <c r="P3" s="18" t="s">
        <v>13</v>
      </c>
    </row>
    <row r="4" spans="1:16" ht="14.25" customHeight="1" x14ac:dyDescent="0.2">
      <c r="A4" s="2"/>
      <c r="B4" s="2"/>
      <c r="C4" s="2"/>
      <c r="D4" s="2"/>
      <c r="E4" s="2"/>
      <c r="F4" s="2"/>
      <c r="G4" s="2"/>
      <c r="H4" s="2"/>
      <c r="K4" s="18"/>
      <c r="L4" s="18"/>
      <c r="M4" s="18"/>
      <c r="N4" s="18"/>
      <c r="O4" s="18"/>
      <c r="P4" s="18"/>
    </row>
    <row r="5" spans="1:16" ht="14.25" customHeight="1" x14ac:dyDescent="0.2">
      <c r="A5" s="2" t="s">
        <v>1</v>
      </c>
      <c r="B5" s="2"/>
      <c r="C5" s="2" t="s">
        <v>2</v>
      </c>
      <c r="D5" s="2"/>
      <c r="E5" s="2" t="s">
        <v>2</v>
      </c>
      <c r="F5" s="2"/>
      <c r="G5" s="16">
        <v>16.186699999999998</v>
      </c>
      <c r="H5" s="16">
        <v>15.2445</v>
      </c>
      <c r="K5" s="19">
        <f>MAX(G5:G9)</f>
        <v>16.186699999999998</v>
      </c>
      <c r="L5" s="15">
        <f>MAX(H5:H9)</f>
        <v>15.2445</v>
      </c>
      <c r="M5" s="19">
        <f>AVERAGE(K5)</f>
        <v>16.186699999999998</v>
      </c>
      <c r="N5" s="15">
        <f>AVERAGE(L5)</f>
        <v>15.2445</v>
      </c>
      <c r="O5" s="20">
        <f>AVERAGE(K5:K109)</f>
        <v>13.020757142857141</v>
      </c>
      <c r="P5" s="21">
        <f>AVERAGE(L5:L109)</f>
        <v>12.909433333333332</v>
      </c>
    </row>
    <row r="6" spans="1:16" ht="14.25" customHeight="1" x14ac:dyDescent="0.2">
      <c r="A6" s="2"/>
      <c r="B6" s="2"/>
      <c r="C6" s="2"/>
      <c r="D6" s="2"/>
      <c r="E6" s="2"/>
      <c r="F6" s="2"/>
      <c r="G6" s="16">
        <v>13.9986</v>
      </c>
      <c r="H6" s="16">
        <v>14.2059</v>
      </c>
      <c r="K6" s="19"/>
      <c r="L6" s="15"/>
      <c r="M6" s="19"/>
      <c r="N6" s="15"/>
      <c r="O6" s="20"/>
      <c r="P6" s="21"/>
    </row>
    <row r="7" spans="1:16" ht="14.25" customHeight="1" x14ac:dyDescent="0.2">
      <c r="A7" s="2"/>
      <c r="B7" s="2"/>
      <c r="C7" s="2"/>
      <c r="D7" s="2"/>
      <c r="E7" s="2"/>
      <c r="F7" s="2"/>
      <c r="G7" s="16">
        <v>14.5679</v>
      </c>
      <c r="H7" s="16">
        <v>14.907500000000001</v>
      </c>
      <c r="K7" s="19"/>
      <c r="L7" s="15"/>
      <c r="M7" s="19"/>
      <c r="N7" s="15"/>
      <c r="O7" s="20"/>
      <c r="P7" s="21"/>
    </row>
    <row r="8" spans="1:16" ht="14.25" customHeight="1" x14ac:dyDescent="0.2">
      <c r="A8" s="2"/>
      <c r="B8" s="2"/>
      <c r="C8" s="2"/>
      <c r="D8" s="2"/>
      <c r="E8" s="2"/>
      <c r="F8" s="2"/>
      <c r="G8" s="16">
        <v>14.655099999999999</v>
      </c>
      <c r="H8" s="16">
        <v>13.5441</v>
      </c>
      <c r="K8" s="19"/>
      <c r="L8" s="15"/>
      <c r="M8" s="19"/>
      <c r="N8" s="15"/>
      <c r="O8" s="20"/>
      <c r="P8" s="21"/>
    </row>
    <row r="9" spans="1:16" ht="14.25" customHeight="1" x14ac:dyDescent="0.2">
      <c r="A9" s="2"/>
      <c r="B9" s="2"/>
      <c r="C9" s="2"/>
      <c r="D9" s="2"/>
      <c r="E9" s="2"/>
      <c r="F9" s="2"/>
      <c r="G9" s="16">
        <v>14.655099999999999</v>
      </c>
      <c r="H9" s="16">
        <v>13.5441</v>
      </c>
      <c r="K9" s="19"/>
      <c r="L9" s="15"/>
      <c r="M9" s="19"/>
      <c r="N9" s="15"/>
      <c r="O9" s="20"/>
      <c r="P9" s="21"/>
    </row>
    <row r="10" spans="1:16" ht="14.25" customHeight="1" x14ac:dyDescent="0.2">
      <c r="A10" s="5" t="s">
        <v>7</v>
      </c>
      <c r="B10" s="6"/>
      <c r="C10" s="5" t="s">
        <v>9</v>
      </c>
      <c r="D10" s="3"/>
      <c r="E10" s="2" t="s">
        <v>2</v>
      </c>
      <c r="F10" s="2"/>
      <c r="G10" s="16">
        <v>15.7529</v>
      </c>
      <c r="H10" s="16">
        <v>14.006500000000001</v>
      </c>
      <c r="K10" s="19">
        <f t="shared" ref="K10:L10" si="0">MAX(G10:G14)</f>
        <v>15.894500000000001</v>
      </c>
      <c r="L10" s="15">
        <f t="shared" si="0"/>
        <v>15.770200000000001</v>
      </c>
      <c r="M10" s="19">
        <f>AVERAGE(K10:K59)</f>
        <v>12.252409999999999</v>
      </c>
      <c r="N10" s="15">
        <f>AVERAGE(L10:L59)</f>
        <v>12.021519999999999</v>
      </c>
      <c r="O10" s="20"/>
      <c r="P10" s="21"/>
    </row>
    <row r="11" spans="1:16" ht="14.25" customHeight="1" x14ac:dyDescent="0.2">
      <c r="A11" s="7"/>
      <c r="B11" s="8"/>
      <c r="C11" s="11"/>
      <c r="D11" s="4"/>
      <c r="E11" s="2"/>
      <c r="F11" s="2"/>
      <c r="G11" s="16">
        <v>15.7989</v>
      </c>
      <c r="H11" s="16">
        <v>14.933400000000001</v>
      </c>
      <c r="K11" s="19"/>
      <c r="L11" s="15"/>
      <c r="M11" s="19"/>
      <c r="N11" s="15"/>
      <c r="O11" s="20"/>
      <c r="P11" s="21"/>
    </row>
    <row r="12" spans="1:16" ht="14.25" customHeight="1" x14ac:dyDescent="0.2">
      <c r="A12" s="7"/>
      <c r="B12" s="8"/>
      <c r="C12" s="11"/>
      <c r="D12" s="4"/>
      <c r="E12" s="2"/>
      <c r="F12" s="2"/>
      <c r="G12" s="16">
        <v>15.894500000000001</v>
      </c>
      <c r="H12" s="16">
        <v>15.389699999999999</v>
      </c>
      <c r="K12" s="19"/>
      <c r="L12" s="15"/>
      <c r="M12" s="19"/>
      <c r="N12" s="15"/>
      <c r="O12" s="20"/>
      <c r="P12" s="21"/>
    </row>
    <row r="13" spans="1:16" ht="14.25" customHeight="1" x14ac:dyDescent="0.2">
      <c r="A13" s="7"/>
      <c r="B13" s="8"/>
      <c r="C13" s="11"/>
      <c r="D13" s="4"/>
      <c r="E13" s="2"/>
      <c r="F13" s="2"/>
      <c r="G13" s="16">
        <v>14.537100000000001</v>
      </c>
      <c r="H13" s="16">
        <v>15.770200000000001</v>
      </c>
      <c r="K13" s="19"/>
      <c r="L13" s="15"/>
      <c r="M13" s="19"/>
      <c r="N13" s="15"/>
      <c r="O13" s="20"/>
      <c r="P13" s="21"/>
    </row>
    <row r="14" spans="1:16" ht="14.25" customHeight="1" x14ac:dyDescent="0.2">
      <c r="A14" s="7"/>
      <c r="B14" s="8"/>
      <c r="C14" s="11"/>
      <c r="D14" s="4"/>
      <c r="E14" s="2"/>
      <c r="F14" s="2"/>
      <c r="G14" s="16">
        <v>14.537100000000001</v>
      </c>
      <c r="H14" s="16">
        <v>15.770200000000001</v>
      </c>
      <c r="K14" s="19"/>
      <c r="L14" s="15"/>
      <c r="M14" s="19"/>
      <c r="N14" s="15"/>
      <c r="O14" s="20"/>
      <c r="P14" s="21"/>
    </row>
    <row r="15" spans="1:16" ht="14.25" customHeight="1" x14ac:dyDescent="0.2">
      <c r="A15" s="7"/>
      <c r="B15" s="8"/>
      <c r="C15" s="11"/>
      <c r="D15" s="4"/>
      <c r="E15" s="2" t="s">
        <v>3</v>
      </c>
      <c r="F15" s="2"/>
      <c r="G15" s="16">
        <v>13.3085</v>
      </c>
      <c r="H15" s="16">
        <v>13.8637</v>
      </c>
      <c r="K15" s="15">
        <f t="shared" ref="K15:L15" si="1">MAX(G15:G19)</f>
        <v>13.7491</v>
      </c>
      <c r="L15" s="19">
        <f t="shared" si="1"/>
        <v>13.8637</v>
      </c>
      <c r="M15" s="19"/>
      <c r="N15" s="15"/>
      <c r="O15" s="20"/>
      <c r="P15" s="21"/>
    </row>
    <row r="16" spans="1:16" ht="14.25" customHeight="1" x14ac:dyDescent="0.2">
      <c r="A16" s="7"/>
      <c r="B16" s="8"/>
      <c r="C16" s="11"/>
      <c r="D16" s="4"/>
      <c r="E16" s="2"/>
      <c r="F16" s="2"/>
      <c r="G16" s="16">
        <v>13.647399999999999</v>
      </c>
      <c r="H16" s="16">
        <v>13.202199999999999</v>
      </c>
      <c r="K16" s="15"/>
      <c r="L16" s="19"/>
      <c r="M16" s="19"/>
      <c r="N16" s="15"/>
      <c r="O16" s="20"/>
      <c r="P16" s="21"/>
    </row>
    <row r="17" spans="1:16" ht="14.25" customHeight="1" x14ac:dyDescent="0.2">
      <c r="A17" s="7"/>
      <c r="B17" s="8"/>
      <c r="C17" s="11"/>
      <c r="D17" s="4"/>
      <c r="E17" s="2"/>
      <c r="F17" s="2"/>
      <c r="G17" s="16">
        <v>12.8203</v>
      </c>
      <c r="H17" s="16">
        <v>13.7217</v>
      </c>
      <c r="K17" s="15"/>
      <c r="L17" s="19"/>
      <c r="M17" s="19"/>
      <c r="N17" s="15"/>
      <c r="O17" s="20"/>
      <c r="P17" s="21"/>
    </row>
    <row r="18" spans="1:16" ht="14.25" customHeight="1" x14ac:dyDescent="0.2">
      <c r="A18" s="7"/>
      <c r="B18" s="8"/>
      <c r="C18" s="11"/>
      <c r="D18" s="4"/>
      <c r="E18" s="2"/>
      <c r="F18" s="2"/>
      <c r="G18" s="16">
        <v>13.7491</v>
      </c>
      <c r="H18" s="16">
        <v>13.404299999999999</v>
      </c>
      <c r="K18" s="15"/>
      <c r="L18" s="19"/>
      <c r="M18" s="19"/>
      <c r="N18" s="15"/>
      <c r="O18" s="20"/>
      <c r="P18" s="21"/>
    </row>
    <row r="19" spans="1:16" ht="14.25" customHeight="1" x14ac:dyDescent="0.2">
      <c r="A19" s="7"/>
      <c r="B19" s="8"/>
      <c r="C19" s="11"/>
      <c r="D19" s="4"/>
      <c r="E19" s="2"/>
      <c r="F19" s="2"/>
      <c r="G19" s="16">
        <v>13.7491</v>
      </c>
      <c r="H19" s="16">
        <v>13.404299999999999</v>
      </c>
      <c r="K19" s="15"/>
      <c r="L19" s="19"/>
      <c r="M19" s="19"/>
      <c r="N19" s="15"/>
      <c r="O19" s="20"/>
      <c r="P19" s="21"/>
    </row>
    <row r="20" spans="1:16" ht="14.25" customHeight="1" x14ac:dyDescent="0.2">
      <c r="A20" s="7"/>
      <c r="B20" s="8"/>
      <c r="C20" s="11"/>
      <c r="D20" s="4"/>
      <c r="E20" s="2" t="s">
        <v>4</v>
      </c>
      <c r="F20" s="2"/>
      <c r="G20" s="16">
        <v>13.5251</v>
      </c>
      <c r="H20" s="16">
        <v>13.8346</v>
      </c>
      <c r="K20" s="19">
        <f t="shared" ref="K20:L20" si="2">MAX(G20:G24)</f>
        <v>14.7707</v>
      </c>
      <c r="L20" s="15">
        <f t="shared" si="2"/>
        <v>14.763500000000001</v>
      </c>
      <c r="M20" s="19"/>
      <c r="N20" s="15"/>
      <c r="O20" s="20"/>
      <c r="P20" s="21"/>
    </row>
    <row r="21" spans="1:16" ht="14.25" customHeight="1" x14ac:dyDescent="0.2">
      <c r="A21" s="7"/>
      <c r="B21" s="8"/>
      <c r="C21" s="11"/>
      <c r="D21" s="4"/>
      <c r="E21" s="2"/>
      <c r="F21" s="2"/>
      <c r="G21" s="16">
        <v>13.5205</v>
      </c>
      <c r="H21" s="16">
        <v>14.7417</v>
      </c>
      <c r="K21" s="19"/>
      <c r="L21" s="15"/>
      <c r="M21" s="19"/>
      <c r="N21" s="15"/>
      <c r="O21" s="20"/>
      <c r="P21" s="21"/>
    </row>
    <row r="22" spans="1:16" ht="14.25" customHeight="1" x14ac:dyDescent="0.2">
      <c r="A22" s="7"/>
      <c r="B22" s="8"/>
      <c r="C22" s="11"/>
      <c r="D22" s="4"/>
      <c r="E22" s="2"/>
      <c r="F22" s="2"/>
      <c r="G22" s="16">
        <v>14.7707</v>
      </c>
      <c r="H22" s="16">
        <v>14.626200000000001</v>
      </c>
      <c r="K22" s="19"/>
      <c r="L22" s="15"/>
      <c r="M22" s="19"/>
      <c r="N22" s="15"/>
      <c r="O22" s="20"/>
      <c r="P22" s="21"/>
    </row>
    <row r="23" spans="1:16" ht="14.25" customHeight="1" x14ac:dyDescent="0.2">
      <c r="A23" s="7"/>
      <c r="B23" s="8"/>
      <c r="C23" s="11"/>
      <c r="D23" s="4"/>
      <c r="E23" s="2"/>
      <c r="F23" s="2"/>
      <c r="G23" s="16">
        <v>14.1227</v>
      </c>
      <c r="H23" s="16">
        <v>14.763500000000001</v>
      </c>
      <c r="K23" s="19"/>
      <c r="L23" s="15"/>
      <c r="M23" s="19"/>
      <c r="N23" s="15"/>
      <c r="O23" s="20"/>
      <c r="P23" s="21"/>
    </row>
    <row r="24" spans="1:16" ht="14.25" customHeight="1" x14ac:dyDescent="0.2">
      <c r="A24" s="7"/>
      <c r="B24" s="8"/>
      <c r="C24" s="11"/>
      <c r="D24" s="4"/>
      <c r="E24" s="2"/>
      <c r="F24" s="2"/>
      <c r="G24" s="16">
        <v>14.1227</v>
      </c>
      <c r="H24" s="16">
        <v>14.763500000000001</v>
      </c>
      <c r="K24" s="19"/>
      <c r="L24" s="15"/>
      <c r="M24" s="19"/>
      <c r="N24" s="15"/>
      <c r="O24" s="20"/>
      <c r="P24" s="21"/>
    </row>
    <row r="25" spans="1:16" ht="14.25" customHeight="1" x14ac:dyDescent="0.2">
      <c r="A25" s="7"/>
      <c r="B25" s="8"/>
      <c r="C25" s="11"/>
      <c r="D25" s="4"/>
      <c r="E25" s="2" t="s">
        <v>5</v>
      </c>
      <c r="F25" s="2"/>
      <c r="G25" s="16">
        <v>14.5251</v>
      </c>
      <c r="H25" s="16">
        <v>14.3687</v>
      </c>
      <c r="K25" s="19">
        <f t="shared" ref="K25:L25" si="3">MAX(G25:G29)</f>
        <v>14.65</v>
      </c>
      <c r="L25" s="15">
        <f t="shared" si="3"/>
        <v>14.5753</v>
      </c>
      <c r="M25" s="19"/>
      <c r="N25" s="15"/>
      <c r="O25" s="20"/>
      <c r="P25" s="21"/>
    </row>
    <row r="26" spans="1:16" ht="14.25" customHeight="1" x14ac:dyDescent="0.2">
      <c r="A26" s="7"/>
      <c r="B26" s="8"/>
      <c r="C26" s="11"/>
      <c r="D26" s="4"/>
      <c r="E26" s="2"/>
      <c r="F26" s="2"/>
      <c r="G26" s="16">
        <v>14.328200000000001</v>
      </c>
      <c r="H26" s="16">
        <v>14.247299999999999</v>
      </c>
      <c r="K26" s="19"/>
      <c r="L26" s="15"/>
      <c r="M26" s="19"/>
      <c r="N26" s="15"/>
      <c r="O26" s="20"/>
      <c r="P26" s="21"/>
    </row>
    <row r="27" spans="1:16" ht="14.25" customHeight="1" x14ac:dyDescent="0.2">
      <c r="A27" s="7"/>
      <c r="B27" s="8"/>
      <c r="C27" s="11"/>
      <c r="D27" s="4"/>
      <c r="E27" s="2"/>
      <c r="F27" s="2"/>
      <c r="G27" s="16">
        <v>14.65</v>
      </c>
      <c r="H27" s="16">
        <v>14.5753</v>
      </c>
      <c r="K27" s="19"/>
      <c r="L27" s="15"/>
      <c r="M27" s="19"/>
      <c r="N27" s="15"/>
      <c r="O27" s="20"/>
      <c r="P27" s="21"/>
    </row>
    <row r="28" spans="1:16" ht="14.25" customHeight="1" x14ac:dyDescent="0.2">
      <c r="A28" s="7"/>
      <c r="B28" s="8"/>
      <c r="C28" s="11"/>
      <c r="D28" s="4"/>
      <c r="E28" s="2"/>
      <c r="F28" s="2"/>
      <c r="G28" s="16">
        <v>14.56</v>
      </c>
      <c r="H28" s="16">
        <v>14.417999999999999</v>
      </c>
      <c r="K28" s="19"/>
      <c r="L28" s="15"/>
      <c r="M28" s="19"/>
      <c r="N28" s="15"/>
      <c r="O28" s="20"/>
      <c r="P28" s="21"/>
    </row>
    <row r="29" spans="1:16" ht="14.25" customHeight="1" x14ac:dyDescent="0.2">
      <c r="A29" s="7"/>
      <c r="B29" s="8"/>
      <c r="C29" s="11"/>
      <c r="D29" s="4"/>
      <c r="E29" s="2"/>
      <c r="F29" s="2"/>
      <c r="G29" s="16">
        <v>14.56</v>
      </c>
      <c r="H29" s="16">
        <v>14.417999999999999</v>
      </c>
      <c r="K29" s="19"/>
      <c r="L29" s="15"/>
      <c r="M29" s="19"/>
      <c r="N29" s="15"/>
      <c r="O29" s="20"/>
      <c r="P29" s="21"/>
    </row>
    <row r="30" spans="1:16" ht="14.25" customHeight="1" x14ac:dyDescent="0.2">
      <c r="A30" s="7"/>
      <c r="B30" s="8"/>
      <c r="C30" s="11"/>
      <c r="D30" s="4"/>
      <c r="E30" s="2" t="s">
        <v>6</v>
      </c>
      <c r="F30" s="2"/>
      <c r="G30" s="16">
        <v>13.722200000000001</v>
      </c>
      <c r="H30" s="16">
        <v>12.533200000000001</v>
      </c>
      <c r="K30" s="15">
        <f t="shared" ref="K30:L30" si="4">MAX(G30:G34)</f>
        <v>13.932</v>
      </c>
      <c r="L30" s="19">
        <f t="shared" si="4"/>
        <v>14.0823</v>
      </c>
      <c r="M30" s="19"/>
      <c r="N30" s="15"/>
      <c r="O30" s="20"/>
      <c r="P30" s="21"/>
    </row>
    <row r="31" spans="1:16" ht="14.25" customHeight="1" x14ac:dyDescent="0.2">
      <c r="A31" s="7"/>
      <c r="B31" s="8"/>
      <c r="C31" s="11"/>
      <c r="D31" s="4"/>
      <c r="E31" s="2"/>
      <c r="F31" s="2"/>
      <c r="G31" s="16">
        <v>13.7293</v>
      </c>
      <c r="H31" s="16">
        <v>12.346399999999999</v>
      </c>
      <c r="K31" s="15"/>
      <c r="L31" s="19"/>
      <c r="M31" s="19"/>
      <c r="N31" s="15"/>
      <c r="O31" s="20"/>
      <c r="P31" s="21"/>
    </row>
    <row r="32" spans="1:16" ht="14.25" customHeight="1" x14ac:dyDescent="0.2">
      <c r="A32" s="7"/>
      <c r="B32" s="8"/>
      <c r="C32" s="11"/>
      <c r="D32" s="4"/>
      <c r="E32" s="2"/>
      <c r="F32" s="2"/>
      <c r="G32" s="16">
        <v>13.7507</v>
      </c>
      <c r="H32" s="16">
        <v>14.0823</v>
      </c>
      <c r="K32" s="15"/>
      <c r="L32" s="19"/>
      <c r="M32" s="19"/>
      <c r="N32" s="15"/>
      <c r="O32" s="20"/>
      <c r="P32" s="21"/>
    </row>
    <row r="33" spans="1:16" ht="14.25" customHeight="1" x14ac:dyDescent="0.2">
      <c r="A33" s="7"/>
      <c r="B33" s="8"/>
      <c r="C33" s="11"/>
      <c r="D33" s="4"/>
      <c r="E33" s="2"/>
      <c r="F33" s="2"/>
      <c r="G33" s="16">
        <v>13.932</v>
      </c>
      <c r="H33" s="16">
        <v>13.0703</v>
      </c>
      <c r="K33" s="15"/>
      <c r="L33" s="19"/>
      <c r="M33" s="19"/>
      <c r="N33" s="15"/>
      <c r="O33" s="20"/>
      <c r="P33" s="21"/>
    </row>
    <row r="34" spans="1:16" ht="14.25" customHeight="1" x14ac:dyDescent="0.2">
      <c r="A34" s="7"/>
      <c r="B34" s="8"/>
      <c r="C34" s="12"/>
      <c r="D34" s="13"/>
      <c r="E34" s="2"/>
      <c r="F34" s="2"/>
      <c r="G34" s="16">
        <v>13.932</v>
      </c>
      <c r="H34" s="16">
        <v>13.0703</v>
      </c>
      <c r="K34" s="15"/>
      <c r="L34" s="19"/>
      <c r="M34" s="19"/>
      <c r="N34" s="15"/>
      <c r="O34" s="20"/>
      <c r="P34" s="21"/>
    </row>
    <row r="35" spans="1:16" ht="14.25" customHeight="1" x14ac:dyDescent="0.2">
      <c r="A35" s="7"/>
      <c r="B35" s="8"/>
      <c r="C35" s="5" t="s">
        <v>10</v>
      </c>
      <c r="D35" s="3"/>
      <c r="E35" s="2" t="s">
        <v>2</v>
      </c>
      <c r="F35" s="2"/>
      <c r="G35" s="16">
        <v>9.0557999999999996</v>
      </c>
      <c r="H35" s="16">
        <v>8.5960000000000001</v>
      </c>
      <c r="K35" s="19">
        <f t="shared" ref="K35:L35" si="5">MAX(G35:G39)</f>
        <v>9.0752000000000006</v>
      </c>
      <c r="L35" s="15">
        <f t="shared" si="5"/>
        <v>8.9684000000000008</v>
      </c>
      <c r="M35" s="19"/>
      <c r="N35" s="15"/>
      <c r="O35" s="20"/>
      <c r="P35" s="21"/>
    </row>
    <row r="36" spans="1:16" ht="14.25" customHeight="1" x14ac:dyDescent="0.2">
      <c r="A36" s="7"/>
      <c r="B36" s="8"/>
      <c r="C36" s="11"/>
      <c r="D36" s="4"/>
      <c r="E36" s="2"/>
      <c r="F36" s="2"/>
      <c r="G36" s="16">
        <v>9.0752000000000006</v>
      </c>
      <c r="H36" s="16">
        <v>8.7232000000000003</v>
      </c>
      <c r="K36" s="19"/>
      <c r="L36" s="15"/>
      <c r="M36" s="19"/>
      <c r="N36" s="15"/>
      <c r="O36" s="20"/>
      <c r="P36" s="21"/>
    </row>
    <row r="37" spans="1:16" ht="14.25" customHeight="1" x14ac:dyDescent="0.2">
      <c r="A37" s="7"/>
      <c r="B37" s="8"/>
      <c r="C37" s="11"/>
      <c r="D37" s="4"/>
      <c r="E37" s="2"/>
      <c r="F37" s="2"/>
      <c r="G37" s="16">
        <v>8.7591999999999999</v>
      </c>
      <c r="H37" s="16">
        <v>8.3362999999999996</v>
      </c>
      <c r="K37" s="19"/>
      <c r="L37" s="15"/>
      <c r="M37" s="19"/>
      <c r="N37" s="15"/>
      <c r="O37" s="20"/>
      <c r="P37" s="21"/>
    </row>
    <row r="38" spans="1:16" ht="14.25" customHeight="1" x14ac:dyDescent="0.2">
      <c r="A38" s="7"/>
      <c r="B38" s="8"/>
      <c r="C38" s="11"/>
      <c r="D38" s="4"/>
      <c r="E38" s="2"/>
      <c r="F38" s="2"/>
      <c r="G38" s="16">
        <v>8.8026</v>
      </c>
      <c r="H38" s="16">
        <v>8.9684000000000008</v>
      </c>
      <c r="K38" s="19"/>
      <c r="L38" s="15"/>
      <c r="M38" s="19"/>
      <c r="N38" s="15"/>
      <c r="O38" s="20"/>
      <c r="P38" s="21"/>
    </row>
    <row r="39" spans="1:16" ht="14.25" customHeight="1" x14ac:dyDescent="0.2">
      <c r="A39" s="7"/>
      <c r="B39" s="8"/>
      <c r="C39" s="11"/>
      <c r="D39" s="4"/>
      <c r="E39" s="2"/>
      <c r="F39" s="2"/>
      <c r="G39" s="16">
        <v>8.8026</v>
      </c>
      <c r="H39" s="16">
        <v>8.9684000000000008</v>
      </c>
      <c r="K39" s="19"/>
      <c r="L39" s="15"/>
      <c r="M39" s="19"/>
      <c r="N39" s="15"/>
      <c r="O39" s="20"/>
      <c r="P39" s="21"/>
    </row>
    <row r="40" spans="1:16" ht="14.25" customHeight="1" x14ac:dyDescent="0.2">
      <c r="A40" s="7"/>
      <c r="B40" s="8"/>
      <c r="C40" s="11"/>
      <c r="D40" s="4"/>
      <c r="E40" s="2" t="s">
        <v>3</v>
      </c>
      <c r="F40" s="2"/>
      <c r="G40" s="16">
        <v>8.0823</v>
      </c>
      <c r="H40" s="16">
        <v>7.6765999999999996</v>
      </c>
      <c r="K40" s="19">
        <f t="shared" ref="K40:L40" si="6">MAX(G40:G44)</f>
        <v>8.7002000000000006</v>
      </c>
      <c r="L40" s="15">
        <f t="shared" si="6"/>
        <v>8.0435999999999996</v>
      </c>
      <c r="M40" s="19"/>
      <c r="N40" s="15"/>
      <c r="O40" s="20"/>
      <c r="P40" s="21"/>
    </row>
    <row r="41" spans="1:16" ht="14.25" customHeight="1" x14ac:dyDescent="0.2">
      <c r="A41" s="7"/>
      <c r="B41" s="8"/>
      <c r="C41" s="11"/>
      <c r="D41" s="4"/>
      <c r="E41" s="2"/>
      <c r="F41" s="2"/>
      <c r="G41" s="16">
        <v>8.7002000000000006</v>
      </c>
      <c r="H41" s="16">
        <v>6.5315000000000003</v>
      </c>
      <c r="K41" s="19"/>
      <c r="L41" s="15"/>
      <c r="M41" s="19"/>
      <c r="N41" s="15"/>
      <c r="O41" s="20"/>
      <c r="P41" s="21"/>
    </row>
    <row r="42" spans="1:16" ht="14.25" customHeight="1" x14ac:dyDescent="0.2">
      <c r="A42" s="7"/>
      <c r="B42" s="8"/>
      <c r="C42" s="11"/>
      <c r="D42" s="4"/>
      <c r="E42" s="2"/>
      <c r="F42" s="2"/>
      <c r="G42" s="16">
        <v>8.2431999999999999</v>
      </c>
      <c r="H42" s="16">
        <v>6.4555999999999996</v>
      </c>
      <c r="K42" s="19"/>
      <c r="L42" s="15"/>
      <c r="M42" s="19"/>
      <c r="N42" s="15"/>
      <c r="O42" s="20"/>
      <c r="P42" s="21"/>
    </row>
    <row r="43" spans="1:16" ht="14.25" customHeight="1" x14ac:dyDescent="0.2">
      <c r="A43" s="7"/>
      <c r="B43" s="8"/>
      <c r="C43" s="11"/>
      <c r="D43" s="4"/>
      <c r="E43" s="2"/>
      <c r="F43" s="2"/>
      <c r="G43" s="16">
        <v>7.6196000000000002</v>
      </c>
      <c r="H43" s="16">
        <v>8.0435999999999996</v>
      </c>
      <c r="K43" s="19"/>
      <c r="L43" s="15"/>
      <c r="M43" s="19"/>
      <c r="N43" s="15"/>
      <c r="O43" s="20"/>
      <c r="P43" s="21"/>
    </row>
    <row r="44" spans="1:16" ht="14.25" customHeight="1" x14ac:dyDescent="0.2">
      <c r="A44" s="7"/>
      <c r="B44" s="8"/>
      <c r="C44" s="11"/>
      <c r="D44" s="4"/>
      <c r="E44" s="2"/>
      <c r="F44" s="2"/>
      <c r="G44" s="16">
        <v>7.6196000000000002</v>
      </c>
      <c r="H44" s="16">
        <v>8.0435999999999996</v>
      </c>
      <c r="K44" s="19"/>
      <c r="L44" s="15"/>
      <c r="M44" s="19"/>
      <c r="N44" s="15"/>
      <c r="O44" s="20"/>
      <c r="P44" s="21"/>
    </row>
    <row r="45" spans="1:16" ht="14.25" customHeight="1" x14ac:dyDescent="0.2">
      <c r="A45" s="7"/>
      <c r="B45" s="8"/>
      <c r="C45" s="11"/>
      <c r="D45" s="4"/>
      <c r="E45" s="2" t="s">
        <v>4</v>
      </c>
      <c r="F45" s="2"/>
      <c r="G45" s="16">
        <v>10.317500000000001</v>
      </c>
      <c r="H45" s="16">
        <v>9.8272999999999993</v>
      </c>
      <c r="K45" s="19">
        <f t="shared" ref="K45:L45" si="7">MAX(G45:G49)</f>
        <v>10.347200000000001</v>
      </c>
      <c r="L45" s="15">
        <f t="shared" si="7"/>
        <v>9.8272999999999993</v>
      </c>
      <c r="M45" s="19"/>
      <c r="N45" s="15"/>
      <c r="O45" s="20"/>
      <c r="P45" s="21"/>
    </row>
    <row r="46" spans="1:16" ht="14.25" customHeight="1" x14ac:dyDescent="0.2">
      <c r="A46" s="7"/>
      <c r="B46" s="8"/>
      <c r="C46" s="11"/>
      <c r="D46" s="4"/>
      <c r="E46" s="2"/>
      <c r="F46" s="2"/>
      <c r="G46" s="16">
        <v>10.347200000000001</v>
      </c>
      <c r="H46" s="16">
        <v>9.2608999999999995</v>
      </c>
      <c r="K46" s="19"/>
      <c r="L46" s="15"/>
      <c r="M46" s="19"/>
      <c r="N46" s="15"/>
      <c r="O46" s="20"/>
      <c r="P46" s="21"/>
    </row>
    <row r="47" spans="1:16" ht="14.25" customHeight="1" x14ac:dyDescent="0.2">
      <c r="A47" s="7"/>
      <c r="B47" s="8"/>
      <c r="C47" s="11"/>
      <c r="D47" s="4"/>
      <c r="E47" s="2"/>
      <c r="F47" s="2"/>
      <c r="G47" s="16">
        <v>10.0403</v>
      </c>
      <c r="H47" s="16">
        <v>7.9038000000000004</v>
      </c>
      <c r="K47" s="19"/>
      <c r="L47" s="15"/>
      <c r="M47" s="19"/>
      <c r="N47" s="15"/>
      <c r="O47" s="20"/>
      <c r="P47" s="21"/>
    </row>
    <row r="48" spans="1:16" ht="14.25" customHeight="1" x14ac:dyDescent="0.2">
      <c r="A48" s="7"/>
      <c r="B48" s="8"/>
      <c r="C48" s="11"/>
      <c r="D48" s="4"/>
      <c r="E48" s="2"/>
      <c r="F48" s="2"/>
      <c r="G48" s="16">
        <v>9.0759000000000007</v>
      </c>
      <c r="H48" s="16">
        <v>8.9343000000000004</v>
      </c>
      <c r="K48" s="19"/>
      <c r="L48" s="15"/>
      <c r="M48" s="19"/>
      <c r="N48" s="15"/>
      <c r="O48" s="20"/>
      <c r="P48" s="21"/>
    </row>
    <row r="49" spans="1:16" ht="14.25" customHeight="1" x14ac:dyDescent="0.2">
      <c r="A49" s="7"/>
      <c r="B49" s="8"/>
      <c r="C49" s="11"/>
      <c r="D49" s="4"/>
      <c r="E49" s="2"/>
      <c r="F49" s="2"/>
      <c r="G49" s="16">
        <v>9.0759000000000007</v>
      </c>
      <c r="H49" s="16">
        <v>8.9343000000000004</v>
      </c>
      <c r="K49" s="19"/>
      <c r="L49" s="15"/>
      <c r="M49" s="19"/>
      <c r="N49" s="15"/>
      <c r="O49" s="20"/>
      <c r="P49" s="21"/>
    </row>
    <row r="50" spans="1:16" ht="14.25" customHeight="1" x14ac:dyDescent="0.2">
      <c r="A50" s="7"/>
      <c r="B50" s="8"/>
      <c r="C50" s="11"/>
      <c r="D50" s="4"/>
      <c r="E50" s="2" t="s">
        <v>5</v>
      </c>
      <c r="F50" s="2"/>
      <c r="G50" s="16">
        <v>10.0441</v>
      </c>
      <c r="H50" s="16">
        <v>9.3452000000000002</v>
      </c>
      <c r="K50" s="19">
        <f t="shared" ref="K50:L50" si="8">MAX(G50:G54)</f>
        <v>10.617000000000001</v>
      </c>
      <c r="L50" s="15">
        <f t="shared" si="8"/>
        <v>10.1866</v>
      </c>
      <c r="M50" s="19"/>
      <c r="N50" s="15"/>
      <c r="O50" s="20"/>
      <c r="P50" s="21"/>
    </row>
    <row r="51" spans="1:16" ht="14.25" customHeight="1" x14ac:dyDescent="0.2">
      <c r="A51" s="7"/>
      <c r="B51" s="8"/>
      <c r="C51" s="11"/>
      <c r="D51" s="4"/>
      <c r="E51" s="2"/>
      <c r="F51" s="2"/>
      <c r="G51" s="16">
        <v>10.1693</v>
      </c>
      <c r="H51" s="16">
        <v>9.5220000000000002</v>
      </c>
      <c r="K51" s="19"/>
      <c r="L51" s="15"/>
      <c r="M51" s="19"/>
      <c r="N51" s="15"/>
      <c r="O51" s="20"/>
      <c r="P51" s="21"/>
    </row>
    <row r="52" spans="1:16" ht="14.25" customHeight="1" x14ac:dyDescent="0.2">
      <c r="A52" s="7"/>
      <c r="B52" s="8"/>
      <c r="C52" s="11"/>
      <c r="D52" s="4"/>
      <c r="E52" s="2"/>
      <c r="F52" s="2"/>
      <c r="G52" s="16">
        <v>9.3925000000000001</v>
      </c>
      <c r="H52" s="16">
        <v>10.1866</v>
      </c>
      <c r="K52" s="19"/>
      <c r="L52" s="15"/>
      <c r="M52" s="19"/>
      <c r="N52" s="15"/>
      <c r="O52" s="20"/>
      <c r="P52" s="21"/>
    </row>
    <row r="53" spans="1:16" ht="14.25" customHeight="1" x14ac:dyDescent="0.2">
      <c r="A53" s="7"/>
      <c r="B53" s="8"/>
      <c r="C53" s="11"/>
      <c r="D53" s="4"/>
      <c r="E53" s="2"/>
      <c r="F53" s="2"/>
      <c r="G53" s="16">
        <v>10.617000000000001</v>
      </c>
      <c r="H53" s="16">
        <v>7.8463000000000003</v>
      </c>
      <c r="K53" s="19"/>
      <c r="L53" s="15"/>
      <c r="M53" s="19"/>
      <c r="N53" s="15"/>
      <c r="O53" s="20"/>
      <c r="P53" s="21"/>
    </row>
    <row r="54" spans="1:16" ht="14.25" customHeight="1" x14ac:dyDescent="0.2">
      <c r="A54" s="7"/>
      <c r="B54" s="8"/>
      <c r="C54" s="11"/>
      <c r="D54" s="4"/>
      <c r="E54" s="2"/>
      <c r="F54" s="2"/>
      <c r="G54" s="16">
        <v>10.617000000000001</v>
      </c>
      <c r="H54" s="16">
        <v>7.8463000000000003</v>
      </c>
      <c r="K54" s="19"/>
      <c r="L54" s="15"/>
      <c r="M54" s="19"/>
      <c r="N54" s="15"/>
      <c r="O54" s="20"/>
      <c r="P54" s="21"/>
    </row>
    <row r="55" spans="1:16" ht="14.25" customHeight="1" x14ac:dyDescent="0.2">
      <c r="A55" s="7"/>
      <c r="B55" s="8"/>
      <c r="C55" s="11"/>
      <c r="D55" s="4"/>
      <c r="E55" s="2" t="s">
        <v>6</v>
      </c>
      <c r="F55" s="2"/>
      <c r="G55" s="16">
        <v>8.3579000000000008</v>
      </c>
      <c r="H55" s="16">
        <v>9.3768999999999991</v>
      </c>
      <c r="K55" s="19">
        <f t="shared" ref="K55:L55" si="9">MAX(G55:G59)</f>
        <v>10.7882</v>
      </c>
      <c r="L55" s="15">
        <f t="shared" si="9"/>
        <v>10.1343</v>
      </c>
      <c r="M55" s="19"/>
      <c r="N55" s="15"/>
      <c r="O55" s="20"/>
      <c r="P55" s="21"/>
    </row>
    <row r="56" spans="1:16" ht="14.25" customHeight="1" x14ac:dyDescent="0.2">
      <c r="A56" s="7"/>
      <c r="B56" s="8"/>
      <c r="C56" s="11"/>
      <c r="D56" s="4"/>
      <c r="E56" s="2"/>
      <c r="F56" s="2"/>
      <c r="G56" s="16">
        <v>9.9667999999999992</v>
      </c>
      <c r="H56" s="16">
        <v>10.1343</v>
      </c>
      <c r="K56" s="19"/>
      <c r="L56" s="15"/>
      <c r="M56" s="19"/>
      <c r="N56" s="15"/>
      <c r="O56" s="20"/>
      <c r="P56" s="21"/>
    </row>
    <row r="57" spans="1:16" ht="14.25" customHeight="1" x14ac:dyDescent="0.2">
      <c r="A57" s="7"/>
      <c r="B57" s="8"/>
      <c r="C57" s="11"/>
      <c r="D57" s="4"/>
      <c r="E57" s="2"/>
      <c r="F57" s="2"/>
      <c r="G57" s="16">
        <v>10.7882</v>
      </c>
      <c r="H57" s="16">
        <v>7.6783000000000001</v>
      </c>
      <c r="K57" s="19"/>
      <c r="L57" s="15"/>
      <c r="M57" s="19"/>
      <c r="N57" s="15"/>
      <c r="O57" s="20"/>
      <c r="P57" s="21"/>
    </row>
    <row r="58" spans="1:16" ht="14.25" customHeight="1" x14ac:dyDescent="0.2">
      <c r="A58" s="7"/>
      <c r="B58" s="8"/>
      <c r="C58" s="11"/>
      <c r="D58" s="4"/>
      <c r="E58" s="2"/>
      <c r="F58" s="2"/>
      <c r="G58" s="16">
        <v>8.3694000000000006</v>
      </c>
      <c r="H58" s="16">
        <v>8.7888999999999999</v>
      </c>
      <c r="K58" s="19"/>
      <c r="L58" s="15"/>
      <c r="M58" s="19"/>
      <c r="N58" s="15"/>
      <c r="O58" s="20"/>
      <c r="P58" s="21"/>
    </row>
    <row r="59" spans="1:16" ht="14.25" customHeight="1" x14ac:dyDescent="0.2">
      <c r="A59" s="9"/>
      <c r="B59" s="10"/>
      <c r="C59" s="12"/>
      <c r="D59" s="13"/>
      <c r="E59" s="2"/>
      <c r="F59" s="2"/>
      <c r="G59" s="16">
        <v>8.3694000000000006</v>
      </c>
      <c r="H59" s="16">
        <v>8.7888999999999999</v>
      </c>
      <c r="K59" s="19"/>
      <c r="L59" s="15"/>
      <c r="M59" s="19"/>
      <c r="N59" s="15"/>
      <c r="O59" s="20"/>
      <c r="P59" s="21"/>
    </row>
    <row r="60" spans="1:16" ht="14.25" customHeight="1" x14ac:dyDescent="0.2">
      <c r="A60" s="5" t="s">
        <v>11</v>
      </c>
      <c r="B60" s="6"/>
      <c r="C60" s="5" t="s">
        <v>9</v>
      </c>
      <c r="D60" s="6"/>
      <c r="E60" s="2" t="s">
        <v>2</v>
      </c>
      <c r="F60" s="2"/>
      <c r="G60" s="16">
        <v>12.573</v>
      </c>
      <c r="H60" s="16">
        <v>11.5739</v>
      </c>
      <c r="K60" s="19">
        <f t="shared" ref="K60:L60" si="10">MAX(G60:G64)</f>
        <v>13.700900000000001</v>
      </c>
      <c r="L60" s="15">
        <f t="shared" si="10"/>
        <v>13.326000000000001</v>
      </c>
      <c r="M60" s="15">
        <f>AVERAGE(K60:K109)</f>
        <v>13.47251</v>
      </c>
      <c r="N60" s="19">
        <f>AVERAGE(L60:L109)</f>
        <v>13.563840000000003</v>
      </c>
      <c r="O60" s="20"/>
      <c r="P60" s="21"/>
    </row>
    <row r="61" spans="1:16" ht="14.25" customHeight="1" x14ac:dyDescent="0.2">
      <c r="A61" s="7"/>
      <c r="B61" s="8"/>
      <c r="C61" s="7"/>
      <c r="D61" s="8"/>
      <c r="E61" s="2"/>
      <c r="F61" s="2"/>
      <c r="G61" s="16">
        <v>13.700900000000001</v>
      </c>
      <c r="H61" s="16">
        <v>11.7629</v>
      </c>
      <c r="K61" s="19"/>
      <c r="L61" s="15"/>
      <c r="M61" s="15"/>
      <c r="N61" s="19"/>
      <c r="O61" s="20"/>
      <c r="P61" s="21"/>
    </row>
    <row r="62" spans="1:16" ht="14.25" customHeight="1" x14ac:dyDescent="0.2">
      <c r="A62" s="7"/>
      <c r="B62" s="8"/>
      <c r="C62" s="7"/>
      <c r="D62" s="8"/>
      <c r="E62" s="2"/>
      <c r="F62" s="2"/>
      <c r="G62" s="16">
        <v>9.7514000000000003</v>
      </c>
      <c r="H62" s="16">
        <v>13.326000000000001</v>
      </c>
      <c r="K62" s="19"/>
      <c r="L62" s="15"/>
      <c r="M62" s="15"/>
      <c r="N62" s="19"/>
      <c r="O62" s="20"/>
      <c r="P62" s="21"/>
    </row>
    <row r="63" spans="1:16" ht="14.25" customHeight="1" x14ac:dyDescent="0.2">
      <c r="A63" s="7"/>
      <c r="B63" s="8"/>
      <c r="C63" s="7"/>
      <c r="D63" s="8"/>
      <c r="E63" s="2"/>
      <c r="F63" s="2"/>
      <c r="G63" s="16">
        <v>13.290699999999999</v>
      </c>
      <c r="H63" s="16">
        <v>12.7882</v>
      </c>
      <c r="K63" s="19"/>
      <c r="L63" s="15"/>
      <c r="M63" s="15"/>
      <c r="N63" s="19"/>
      <c r="O63" s="20"/>
      <c r="P63" s="21"/>
    </row>
    <row r="64" spans="1:16" ht="14.25" customHeight="1" x14ac:dyDescent="0.2">
      <c r="A64" s="7"/>
      <c r="B64" s="8"/>
      <c r="C64" s="7"/>
      <c r="D64" s="8"/>
      <c r="E64" s="2"/>
      <c r="F64" s="2"/>
      <c r="G64" s="16">
        <v>13.290699999999999</v>
      </c>
      <c r="H64" s="16">
        <v>12.7882</v>
      </c>
      <c r="K64" s="19"/>
      <c r="L64" s="15"/>
      <c r="M64" s="15"/>
      <c r="N64" s="19"/>
      <c r="O64" s="20"/>
      <c r="P64" s="21"/>
    </row>
    <row r="65" spans="1:16" ht="14.25" customHeight="1" x14ac:dyDescent="0.2">
      <c r="A65" s="7"/>
      <c r="B65" s="8"/>
      <c r="C65" s="7"/>
      <c r="D65" s="8"/>
      <c r="E65" s="2" t="s">
        <v>3</v>
      </c>
      <c r="F65" s="2"/>
      <c r="G65" s="16">
        <v>11.3705</v>
      </c>
      <c r="H65" s="16">
        <v>12.995100000000001</v>
      </c>
      <c r="K65" s="19">
        <f t="shared" ref="K65:L65" si="11">MAX(G65:G69)</f>
        <v>13.116099999999999</v>
      </c>
      <c r="L65" s="15">
        <f t="shared" si="11"/>
        <v>12.995100000000001</v>
      </c>
      <c r="M65" s="15"/>
      <c r="N65" s="19"/>
      <c r="O65" s="20"/>
      <c r="P65" s="21"/>
    </row>
    <row r="66" spans="1:16" ht="14.25" customHeight="1" x14ac:dyDescent="0.2">
      <c r="A66" s="7"/>
      <c r="B66" s="8"/>
      <c r="C66" s="7"/>
      <c r="D66" s="8"/>
      <c r="E66" s="2"/>
      <c r="F66" s="2"/>
      <c r="G66" s="16">
        <v>12.817</v>
      </c>
      <c r="H66" s="16">
        <v>12.651999999999999</v>
      </c>
      <c r="K66" s="19"/>
      <c r="L66" s="15"/>
      <c r="M66" s="15"/>
      <c r="N66" s="19"/>
      <c r="O66" s="20"/>
      <c r="P66" s="21"/>
    </row>
    <row r="67" spans="1:16" ht="14.25" customHeight="1" x14ac:dyDescent="0.2">
      <c r="A67" s="7"/>
      <c r="B67" s="8"/>
      <c r="C67" s="7"/>
      <c r="D67" s="8"/>
      <c r="E67" s="2"/>
      <c r="F67" s="2"/>
      <c r="G67" s="16">
        <v>13.116099999999999</v>
      </c>
      <c r="H67" s="16">
        <v>12.6556</v>
      </c>
      <c r="K67" s="19"/>
      <c r="L67" s="15"/>
      <c r="M67" s="15"/>
      <c r="N67" s="19"/>
      <c r="O67" s="20"/>
      <c r="P67" s="21"/>
    </row>
    <row r="68" spans="1:16" ht="14.25" customHeight="1" x14ac:dyDescent="0.2">
      <c r="A68" s="7"/>
      <c r="B68" s="8"/>
      <c r="C68" s="7"/>
      <c r="D68" s="8"/>
      <c r="E68" s="2"/>
      <c r="F68" s="2"/>
      <c r="G68" s="16">
        <v>12.537800000000001</v>
      </c>
      <c r="H68" s="16">
        <v>12.125</v>
      </c>
      <c r="K68" s="19"/>
      <c r="L68" s="15"/>
      <c r="M68" s="15"/>
      <c r="N68" s="19"/>
      <c r="O68" s="20"/>
      <c r="P68" s="21"/>
    </row>
    <row r="69" spans="1:16" ht="14.25" customHeight="1" x14ac:dyDescent="0.2">
      <c r="A69" s="7"/>
      <c r="B69" s="8"/>
      <c r="C69" s="7"/>
      <c r="D69" s="8"/>
      <c r="E69" s="2"/>
      <c r="F69" s="2"/>
      <c r="G69" s="16">
        <v>12.537800000000001</v>
      </c>
      <c r="H69" s="16">
        <v>12.125</v>
      </c>
      <c r="K69" s="19"/>
      <c r="L69" s="15"/>
      <c r="M69" s="15"/>
      <c r="N69" s="19"/>
      <c r="O69" s="20"/>
      <c r="P69" s="21"/>
    </row>
    <row r="70" spans="1:16" ht="14.25" customHeight="1" x14ac:dyDescent="0.2">
      <c r="A70" s="7"/>
      <c r="B70" s="8"/>
      <c r="C70" s="7"/>
      <c r="D70" s="8"/>
      <c r="E70" s="2" t="s">
        <v>4</v>
      </c>
      <c r="F70" s="2"/>
      <c r="G70" s="16">
        <v>10.811299999999999</v>
      </c>
      <c r="H70" s="16">
        <v>12.687799999999999</v>
      </c>
      <c r="K70" s="15">
        <f t="shared" ref="K70:L70" si="12">MAX(G70:G74)</f>
        <v>13.123699999999999</v>
      </c>
      <c r="L70" s="19">
        <f t="shared" si="12"/>
        <v>13.345700000000001</v>
      </c>
      <c r="M70" s="15"/>
      <c r="N70" s="19"/>
      <c r="O70" s="20"/>
      <c r="P70" s="21"/>
    </row>
    <row r="71" spans="1:16" ht="14.25" customHeight="1" x14ac:dyDescent="0.2">
      <c r="A71" s="7"/>
      <c r="B71" s="8"/>
      <c r="C71" s="7"/>
      <c r="D71" s="8"/>
      <c r="E71" s="2"/>
      <c r="F71" s="2"/>
      <c r="G71" s="16">
        <v>13.123699999999999</v>
      </c>
      <c r="H71" s="16">
        <v>13.1534</v>
      </c>
      <c r="K71" s="15"/>
      <c r="L71" s="19"/>
      <c r="M71" s="15"/>
      <c r="N71" s="19"/>
      <c r="O71" s="20"/>
      <c r="P71" s="21"/>
    </row>
    <row r="72" spans="1:16" ht="14.25" customHeight="1" x14ac:dyDescent="0.2">
      <c r="A72" s="7"/>
      <c r="B72" s="8"/>
      <c r="C72" s="7"/>
      <c r="D72" s="8"/>
      <c r="E72" s="2"/>
      <c r="F72" s="2"/>
      <c r="G72" s="16">
        <v>12.582800000000001</v>
      </c>
      <c r="H72" s="16">
        <v>12.424899999999999</v>
      </c>
      <c r="K72" s="15"/>
      <c r="L72" s="19"/>
      <c r="M72" s="15"/>
      <c r="N72" s="19"/>
      <c r="O72" s="20"/>
      <c r="P72" s="21"/>
    </row>
    <row r="73" spans="1:16" ht="14.25" customHeight="1" x14ac:dyDescent="0.2">
      <c r="A73" s="7"/>
      <c r="B73" s="8"/>
      <c r="C73" s="7"/>
      <c r="D73" s="8"/>
      <c r="E73" s="2"/>
      <c r="F73" s="2"/>
      <c r="G73" s="16">
        <v>12.4224</v>
      </c>
      <c r="H73" s="16">
        <v>13.345700000000001</v>
      </c>
      <c r="K73" s="15"/>
      <c r="L73" s="19"/>
      <c r="M73" s="15"/>
      <c r="N73" s="19"/>
      <c r="O73" s="20"/>
      <c r="P73" s="21"/>
    </row>
    <row r="74" spans="1:16" ht="14.25" customHeight="1" x14ac:dyDescent="0.2">
      <c r="A74" s="7"/>
      <c r="B74" s="8"/>
      <c r="C74" s="7"/>
      <c r="D74" s="8"/>
      <c r="E74" s="2"/>
      <c r="F74" s="2"/>
      <c r="G74" s="16">
        <v>12.4224</v>
      </c>
      <c r="H74" s="16">
        <v>13.345700000000001</v>
      </c>
      <c r="K74" s="15"/>
      <c r="L74" s="19"/>
      <c r="M74" s="15"/>
      <c r="N74" s="19"/>
      <c r="O74" s="20"/>
      <c r="P74" s="21"/>
    </row>
    <row r="75" spans="1:16" ht="14.25" customHeight="1" x14ac:dyDescent="0.2">
      <c r="A75" s="7"/>
      <c r="B75" s="8"/>
      <c r="C75" s="7"/>
      <c r="D75" s="8"/>
      <c r="E75" s="2" t="s">
        <v>5</v>
      </c>
      <c r="F75" s="2"/>
      <c r="G75" s="16">
        <v>13.6256</v>
      </c>
      <c r="H75" s="16">
        <v>14.0992</v>
      </c>
      <c r="K75" s="15">
        <f t="shared" ref="K75:L75" si="13">MAX(G75:G79)</f>
        <v>13.6256</v>
      </c>
      <c r="L75" s="19">
        <f t="shared" si="13"/>
        <v>14.0992</v>
      </c>
      <c r="M75" s="15"/>
      <c r="N75" s="19"/>
      <c r="O75" s="20"/>
      <c r="P75" s="21"/>
    </row>
    <row r="76" spans="1:16" ht="14.25" customHeight="1" x14ac:dyDescent="0.2">
      <c r="A76" s="7"/>
      <c r="B76" s="8"/>
      <c r="C76" s="7"/>
      <c r="D76" s="8"/>
      <c r="E76" s="2"/>
      <c r="F76" s="2"/>
      <c r="G76" s="16">
        <v>12.742000000000001</v>
      </c>
      <c r="H76" s="16">
        <v>13.359400000000001</v>
      </c>
      <c r="K76" s="15"/>
      <c r="L76" s="19"/>
      <c r="M76" s="15"/>
      <c r="N76" s="19"/>
      <c r="O76" s="20"/>
      <c r="P76" s="21"/>
    </row>
    <row r="77" spans="1:16" ht="14.25" customHeight="1" x14ac:dyDescent="0.2">
      <c r="A77" s="7"/>
      <c r="B77" s="8"/>
      <c r="C77" s="7"/>
      <c r="D77" s="8"/>
      <c r="E77" s="2"/>
      <c r="F77" s="2"/>
      <c r="G77" s="16">
        <v>13.1195</v>
      </c>
      <c r="H77" s="16">
        <v>13.728400000000001</v>
      </c>
      <c r="K77" s="15"/>
      <c r="L77" s="19"/>
      <c r="M77" s="15"/>
      <c r="N77" s="19"/>
      <c r="O77" s="20"/>
      <c r="P77" s="21"/>
    </row>
    <row r="78" spans="1:16" ht="14.25" customHeight="1" x14ac:dyDescent="0.2">
      <c r="A78" s="7"/>
      <c r="B78" s="8"/>
      <c r="C78" s="7"/>
      <c r="D78" s="8"/>
      <c r="E78" s="2"/>
      <c r="F78" s="2"/>
      <c r="G78" s="16">
        <v>13.0206</v>
      </c>
      <c r="H78" s="16">
        <v>12.7004</v>
      </c>
      <c r="K78" s="15"/>
      <c r="L78" s="19"/>
      <c r="M78" s="15"/>
      <c r="N78" s="19"/>
      <c r="O78" s="20"/>
      <c r="P78" s="21"/>
    </row>
    <row r="79" spans="1:16" ht="14.25" customHeight="1" x14ac:dyDescent="0.2">
      <c r="A79" s="7"/>
      <c r="B79" s="8"/>
      <c r="C79" s="7"/>
      <c r="D79" s="8"/>
      <c r="E79" s="2"/>
      <c r="F79" s="2"/>
      <c r="G79" s="16">
        <v>13.0206</v>
      </c>
      <c r="H79" s="16">
        <v>12.7004</v>
      </c>
      <c r="K79" s="15"/>
      <c r="L79" s="19"/>
      <c r="M79" s="15"/>
      <c r="N79" s="19"/>
      <c r="O79" s="20"/>
      <c r="P79" s="21"/>
    </row>
    <row r="80" spans="1:16" ht="14.25" customHeight="1" x14ac:dyDescent="0.2">
      <c r="A80" s="7"/>
      <c r="B80" s="8"/>
      <c r="C80" s="7"/>
      <c r="D80" s="8"/>
      <c r="E80" s="2" t="s">
        <v>6</v>
      </c>
      <c r="F80" s="2"/>
      <c r="G80" s="16">
        <v>12.2883</v>
      </c>
      <c r="H80" s="16">
        <v>13.4427</v>
      </c>
      <c r="K80" s="15">
        <f t="shared" ref="K80:L80" si="14">MAX(G80:G84)</f>
        <v>13.0595</v>
      </c>
      <c r="L80" s="19">
        <f t="shared" si="14"/>
        <v>13.603300000000001</v>
      </c>
      <c r="M80" s="15"/>
      <c r="N80" s="19"/>
      <c r="O80" s="20"/>
      <c r="P80" s="21"/>
    </row>
    <row r="81" spans="1:16" ht="14.25" customHeight="1" x14ac:dyDescent="0.2">
      <c r="A81" s="7"/>
      <c r="B81" s="8"/>
      <c r="C81" s="7"/>
      <c r="D81" s="8"/>
      <c r="E81" s="2"/>
      <c r="F81" s="2"/>
      <c r="G81" s="16">
        <v>13.0595</v>
      </c>
      <c r="H81" s="16">
        <v>13.603300000000001</v>
      </c>
      <c r="K81" s="15"/>
      <c r="L81" s="19"/>
      <c r="M81" s="15"/>
      <c r="N81" s="19"/>
      <c r="O81" s="20"/>
      <c r="P81" s="21"/>
    </row>
    <row r="82" spans="1:16" ht="14.25" customHeight="1" x14ac:dyDescent="0.2">
      <c r="A82" s="7"/>
      <c r="B82" s="8"/>
      <c r="C82" s="7"/>
      <c r="D82" s="8"/>
      <c r="E82" s="2"/>
      <c r="F82" s="2"/>
      <c r="G82" s="16">
        <v>12.3535</v>
      </c>
      <c r="H82" s="16">
        <v>13.4598</v>
      </c>
      <c r="K82" s="15"/>
      <c r="L82" s="19"/>
      <c r="M82" s="15"/>
      <c r="N82" s="19"/>
      <c r="O82" s="20"/>
      <c r="P82" s="21"/>
    </row>
    <row r="83" spans="1:16" ht="14.25" customHeight="1" x14ac:dyDescent="0.2">
      <c r="A83" s="7"/>
      <c r="B83" s="8"/>
      <c r="C83" s="7"/>
      <c r="D83" s="8"/>
      <c r="E83" s="2"/>
      <c r="F83" s="2"/>
      <c r="G83" s="16">
        <v>12.993499999999999</v>
      </c>
      <c r="H83" s="16">
        <v>12.130599999999999</v>
      </c>
      <c r="K83" s="15"/>
      <c r="L83" s="19"/>
      <c r="M83" s="15"/>
      <c r="N83" s="19"/>
      <c r="O83" s="20"/>
      <c r="P83" s="21"/>
    </row>
    <row r="84" spans="1:16" ht="14.25" customHeight="1" x14ac:dyDescent="0.2">
      <c r="A84" s="7"/>
      <c r="B84" s="8"/>
      <c r="C84" s="9"/>
      <c r="D84" s="10"/>
      <c r="E84" s="2"/>
      <c r="F84" s="2"/>
      <c r="G84" s="16">
        <v>12.993499999999999</v>
      </c>
      <c r="H84" s="16">
        <v>12.130599999999999</v>
      </c>
      <c r="K84" s="15"/>
      <c r="L84" s="19"/>
      <c r="M84" s="15"/>
      <c r="N84" s="19"/>
      <c r="O84" s="20"/>
      <c r="P84" s="21"/>
    </row>
    <row r="85" spans="1:16" ht="14.25" customHeight="1" x14ac:dyDescent="0.2">
      <c r="A85" s="7"/>
      <c r="B85" s="8"/>
      <c r="C85" s="5" t="s">
        <v>10</v>
      </c>
      <c r="D85" s="3"/>
      <c r="E85" s="2" t="s">
        <v>2</v>
      </c>
      <c r="F85" s="2"/>
      <c r="G85" s="16">
        <v>14.0379</v>
      </c>
      <c r="H85" s="16">
        <v>13.905099999999999</v>
      </c>
      <c r="K85" s="22">
        <f t="shared" ref="K85:L85" si="15">MAX(G85:G89)</f>
        <v>14.117699999999999</v>
      </c>
      <c r="L85" s="19">
        <f t="shared" si="15"/>
        <v>14.322800000000001</v>
      </c>
      <c r="M85" s="15"/>
      <c r="N85" s="19"/>
      <c r="O85" s="20"/>
      <c r="P85" s="21"/>
    </row>
    <row r="86" spans="1:16" ht="14.25" customHeight="1" x14ac:dyDescent="0.2">
      <c r="A86" s="7"/>
      <c r="B86" s="8"/>
      <c r="C86" s="11"/>
      <c r="D86" s="4"/>
      <c r="E86" s="2"/>
      <c r="F86" s="2"/>
      <c r="G86" s="16">
        <v>11.7982</v>
      </c>
      <c r="H86" s="16">
        <v>14.013999999999999</v>
      </c>
      <c r="K86" s="23"/>
      <c r="L86" s="19"/>
      <c r="M86" s="15"/>
      <c r="N86" s="19"/>
      <c r="O86" s="20"/>
      <c r="P86" s="21"/>
    </row>
    <row r="87" spans="1:16" ht="14.25" customHeight="1" x14ac:dyDescent="0.2">
      <c r="A87" s="7"/>
      <c r="B87" s="8"/>
      <c r="C87" s="11"/>
      <c r="D87" s="4"/>
      <c r="E87" s="2"/>
      <c r="F87" s="2"/>
      <c r="G87" s="16">
        <v>14.117699999999999</v>
      </c>
      <c r="H87" s="16">
        <v>14.322800000000001</v>
      </c>
      <c r="K87" s="23"/>
      <c r="L87" s="19"/>
      <c r="M87" s="15"/>
      <c r="N87" s="19"/>
      <c r="O87" s="20"/>
      <c r="P87" s="21"/>
    </row>
    <row r="88" spans="1:16" ht="14.25" customHeight="1" x14ac:dyDescent="0.2">
      <c r="A88" s="7"/>
      <c r="B88" s="8"/>
      <c r="C88" s="11"/>
      <c r="D88" s="4"/>
      <c r="E88" s="2"/>
      <c r="F88" s="2"/>
      <c r="G88" s="16">
        <v>14.0878</v>
      </c>
      <c r="H88" s="16">
        <v>13.664199999999999</v>
      </c>
      <c r="K88" s="23"/>
      <c r="L88" s="19"/>
      <c r="M88" s="15"/>
      <c r="N88" s="19"/>
      <c r="O88" s="20"/>
      <c r="P88" s="21"/>
    </row>
    <row r="89" spans="1:16" ht="14.25" customHeight="1" x14ac:dyDescent="0.2">
      <c r="A89" s="7"/>
      <c r="B89" s="8"/>
      <c r="C89" s="11"/>
      <c r="D89" s="4"/>
      <c r="E89" s="2"/>
      <c r="F89" s="2"/>
      <c r="G89" s="16">
        <v>14.0878</v>
      </c>
      <c r="H89" s="16">
        <v>13.664199999999999</v>
      </c>
      <c r="K89" s="24"/>
      <c r="L89" s="19"/>
      <c r="M89" s="15"/>
      <c r="N89" s="19"/>
      <c r="O89" s="20"/>
      <c r="P89" s="21"/>
    </row>
    <row r="90" spans="1:16" ht="14.25" customHeight="1" x14ac:dyDescent="0.2">
      <c r="A90" s="7"/>
      <c r="B90" s="8"/>
      <c r="C90" s="11"/>
      <c r="D90" s="4"/>
      <c r="E90" s="2" t="s">
        <v>3</v>
      </c>
      <c r="F90" s="2"/>
      <c r="G90" s="16">
        <v>13.335699999999999</v>
      </c>
      <c r="H90" s="16">
        <v>13.4252</v>
      </c>
      <c r="K90" s="15">
        <f t="shared" ref="K90:L90" si="16">MAX(G90:G94)</f>
        <v>13.335699999999999</v>
      </c>
      <c r="L90" s="19">
        <f t="shared" si="16"/>
        <v>13.4252</v>
      </c>
      <c r="M90" s="15"/>
      <c r="N90" s="19"/>
      <c r="O90" s="20"/>
      <c r="P90" s="21"/>
    </row>
    <row r="91" spans="1:16" ht="14.25" customHeight="1" x14ac:dyDescent="0.2">
      <c r="A91" s="7"/>
      <c r="B91" s="8"/>
      <c r="C91" s="11"/>
      <c r="D91" s="4"/>
      <c r="E91" s="2"/>
      <c r="F91" s="2"/>
      <c r="G91" s="16">
        <v>11.3713</v>
      </c>
      <c r="H91" s="16">
        <v>8.9672999999999998</v>
      </c>
      <c r="K91" s="15"/>
      <c r="L91" s="19"/>
      <c r="M91" s="15"/>
      <c r="N91" s="19"/>
      <c r="O91" s="20"/>
      <c r="P91" s="21"/>
    </row>
    <row r="92" spans="1:16" ht="14.25" customHeight="1" x14ac:dyDescent="0.2">
      <c r="A92" s="7"/>
      <c r="B92" s="8"/>
      <c r="C92" s="11"/>
      <c r="D92" s="4"/>
      <c r="E92" s="2"/>
      <c r="F92" s="2"/>
      <c r="G92" s="16">
        <v>12.8209</v>
      </c>
      <c r="H92" s="16">
        <v>12.610200000000001</v>
      </c>
      <c r="K92" s="15"/>
      <c r="L92" s="19"/>
      <c r="M92" s="15"/>
      <c r="N92" s="19"/>
      <c r="O92" s="20"/>
      <c r="P92" s="21"/>
    </row>
    <row r="93" spans="1:16" ht="14.25" customHeight="1" x14ac:dyDescent="0.2">
      <c r="A93" s="7"/>
      <c r="B93" s="8"/>
      <c r="C93" s="11"/>
      <c r="D93" s="4"/>
      <c r="E93" s="2"/>
      <c r="F93" s="2"/>
      <c r="G93" s="16">
        <v>12.376799999999999</v>
      </c>
      <c r="H93" s="16">
        <v>10.749000000000001</v>
      </c>
      <c r="K93" s="15"/>
      <c r="L93" s="19"/>
      <c r="M93" s="15"/>
      <c r="N93" s="19"/>
      <c r="O93" s="20"/>
      <c r="P93" s="21"/>
    </row>
    <row r="94" spans="1:16" ht="14.25" customHeight="1" x14ac:dyDescent="0.2">
      <c r="A94" s="7"/>
      <c r="B94" s="8"/>
      <c r="C94" s="11"/>
      <c r="D94" s="4"/>
      <c r="E94" s="2"/>
      <c r="F94" s="2"/>
      <c r="G94" s="16">
        <v>12.376799999999999</v>
      </c>
      <c r="H94" s="16">
        <v>10.749000000000001</v>
      </c>
      <c r="K94" s="15"/>
      <c r="L94" s="19"/>
      <c r="M94" s="15"/>
      <c r="N94" s="19"/>
      <c r="O94" s="20"/>
      <c r="P94" s="21"/>
    </row>
    <row r="95" spans="1:16" ht="14.25" customHeight="1" x14ac:dyDescent="0.2">
      <c r="A95" s="7"/>
      <c r="B95" s="8"/>
      <c r="C95" s="11"/>
      <c r="D95" s="4"/>
      <c r="E95" s="2" t="s">
        <v>4</v>
      </c>
      <c r="F95" s="2"/>
      <c r="G95" s="16">
        <v>12.7348</v>
      </c>
      <c r="H95" s="16">
        <v>10.4292</v>
      </c>
      <c r="K95" s="19">
        <f t="shared" ref="K95:L95" si="17">MAX(G95:G99)</f>
        <v>12.7348</v>
      </c>
      <c r="L95" s="15">
        <f t="shared" si="17"/>
        <v>12.6815</v>
      </c>
      <c r="M95" s="15"/>
      <c r="N95" s="19"/>
      <c r="O95" s="20"/>
      <c r="P95" s="21"/>
    </row>
    <row r="96" spans="1:16" ht="14.25" customHeight="1" x14ac:dyDescent="0.2">
      <c r="A96" s="7"/>
      <c r="B96" s="8"/>
      <c r="C96" s="11"/>
      <c r="D96" s="4"/>
      <c r="E96" s="2"/>
      <c r="F96" s="2"/>
      <c r="G96" s="16">
        <v>11.614800000000001</v>
      </c>
      <c r="H96" s="16">
        <v>10.778600000000001</v>
      </c>
      <c r="K96" s="19"/>
      <c r="L96" s="15"/>
      <c r="M96" s="15"/>
      <c r="N96" s="19"/>
      <c r="O96" s="20"/>
      <c r="P96" s="21"/>
    </row>
    <row r="97" spans="1:16" ht="14.25" customHeight="1" x14ac:dyDescent="0.2">
      <c r="A97" s="7"/>
      <c r="B97" s="8"/>
      <c r="C97" s="11"/>
      <c r="D97" s="4"/>
      <c r="E97" s="2"/>
      <c r="F97" s="2"/>
      <c r="G97" s="16">
        <v>11.500400000000001</v>
      </c>
      <c r="H97" s="16">
        <v>11.5936</v>
      </c>
      <c r="K97" s="19"/>
      <c r="L97" s="15"/>
      <c r="M97" s="15"/>
      <c r="N97" s="19"/>
      <c r="O97" s="20"/>
      <c r="P97" s="21"/>
    </row>
    <row r="98" spans="1:16" ht="14.25" customHeight="1" x14ac:dyDescent="0.2">
      <c r="A98" s="7"/>
      <c r="B98" s="8"/>
      <c r="C98" s="11"/>
      <c r="D98" s="4"/>
      <c r="E98" s="2"/>
      <c r="F98" s="2"/>
      <c r="G98" s="16">
        <v>12.315799999999999</v>
      </c>
      <c r="H98" s="16">
        <v>12.6815</v>
      </c>
      <c r="K98" s="19"/>
      <c r="L98" s="15"/>
      <c r="M98" s="15"/>
      <c r="N98" s="19"/>
      <c r="O98" s="20"/>
      <c r="P98" s="21"/>
    </row>
    <row r="99" spans="1:16" ht="14.25" customHeight="1" x14ac:dyDescent="0.2">
      <c r="A99" s="7"/>
      <c r="B99" s="8"/>
      <c r="C99" s="11"/>
      <c r="D99" s="4"/>
      <c r="E99" s="2"/>
      <c r="F99" s="2"/>
      <c r="G99" s="16">
        <v>12.315799999999999</v>
      </c>
      <c r="H99" s="16">
        <v>12.6815</v>
      </c>
      <c r="K99" s="19"/>
      <c r="L99" s="15"/>
      <c r="M99" s="15"/>
      <c r="N99" s="19"/>
      <c r="O99" s="20"/>
      <c r="P99" s="21"/>
    </row>
    <row r="100" spans="1:16" ht="14.25" customHeight="1" x14ac:dyDescent="0.2">
      <c r="A100" s="7"/>
      <c r="B100" s="8"/>
      <c r="C100" s="11"/>
      <c r="D100" s="4"/>
      <c r="E100" s="2" t="s">
        <v>5</v>
      </c>
      <c r="F100" s="2"/>
      <c r="G100" s="16">
        <v>13.884600000000001</v>
      </c>
      <c r="H100" s="16">
        <v>13.6074</v>
      </c>
      <c r="K100" s="19">
        <f t="shared" ref="K100:L100" si="18">MAX(G100:G104)</f>
        <v>13.884600000000001</v>
      </c>
      <c r="L100" s="15">
        <f t="shared" si="18"/>
        <v>13.8226</v>
      </c>
      <c r="M100" s="15"/>
      <c r="N100" s="19"/>
      <c r="O100" s="20"/>
      <c r="P100" s="21"/>
    </row>
    <row r="101" spans="1:16" ht="14.25" customHeight="1" x14ac:dyDescent="0.2">
      <c r="A101" s="7"/>
      <c r="B101" s="8"/>
      <c r="C101" s="11"/>
      <c r="D101" s="4"/>
      <c r="E101" s="2"/>
      <c r="F101" s="2"/>
      <c r="G101" s="16">
        <v>13.7515</v>
      </c>
      <c r="H101" s="16">
        <v>12.8765</v>
      </c>
      <c r="K101" s="19"/>
      <c r="L101" s="15"/>
      <c r="M101" s="15"/>
      <c r="N101" s="19"/>
      <c r="O101" s="20"/>
      <c r="P101" s="21"/>
    </row>
    <row r="102" spans="1:16" ht="14.25" customHeight="1" x14ac:dyDescent="0.2">
      <c r="A102" s="7"/>
      <c r="B102" s="8"/>
      <c r="C102" s="11"/>
      <c r="D102" s="4"/>
      <c r="E102" s="2"/>
      <c r="F102" s="2"/>
      <c r="G102" s="16">
        <v>12.9673</v>
      </c>
      <c r="H102" s="16">
        <v>12.890700000000001</v>
      </c>
      <c r="K102" s="19"/>
      <c r="L102" s="15"/>
      <c r="M102" s="15"/>
      <c r="N102" s="19"/>
      <c r="O102" s="20"/>
      <c r="P102" s="21"/>
    </row>
    <row r="103" spans="1:16" ht="14.25" customHeight="1" x14ac:dyDescent="0.2">
      <c r="A103" s="7"/>
      <c r="B103" s="8"/>
      <c r="C103" s="11"/>
      <c r="D103" s="4"/>
      <c r="E103" s="2"/>
      <c r="F103" s="2"/>
      <c r="G103" s="16">
        <v>11.814500000000001</v>
      </c>
      <c r="H103" s="16">
        <v>13.8226</v>
      </c>
      <c r="K103" s="19"/>
      <c r="L103" s="15"/>
      <c r="M103" s="15"/>
      <c r="N103" s="19"/>
      <c r="O103" s="20"/>
      <c r="P103" s="21"/>
    </row>
    <row r="104" spans="1:16" ht="14.25" customHeight="1" x14ac:dyDescent="0.2">
      <c r="A104" s="7"/>
      <c r="B104" s="8"/>
      <c r="C104" s="11"/>
      <c r="D104" s="4"/>
      <c r="E104" s="2"/>
      <c r="F104" s="2"/>
      <c r="G104" s="16">
        <v>11.814500000000001</v>
      </c>
      <c r="H104" s="16">
        <v>13.8226</v>
      </c>
      <c r="K104" s="19"/>
      <c r="L104" s="15"/>
      <c r="M104" s="15"/>
      <c r="N104" s="19"/>
      <c r="O104" s="20"/>
      <c r="P104" s="21"/>
    </row>
    <row r="105" spans="1:16" ht="14.25" customHeight="1" x14ac:dyDescent="0.2">
      <c r="A105" s="7"/>
      <c r="B105" s="8"/>
      <c r="C105" s="11"/>
      <c r="D105" s="4"/>
      <c r="E105" s="2" t="s">
        <v>6</v>
      </c>
      <c r="F105" s="2"/>
      <c r="G105" s="16">
        <v>12.141999999999999</v>
      </c>
      <c r="H105" s="16">
        <v>14.0047</v>
      </c>
      <c r="K105" s="19">
        <f t="shared" ref="K105" si="19">MAX(G105:G109)</f>
        <v>14.0265</v>
      </c>
      <c r="L105" s="15">
        <f t="shared" ref="L105" si="20">MAX(H105:H109)</f>
        <v>14.016999999999999</v>
      </c>
      <c r="M105" s="15"/>
      <c r="N105" s="19"/>
      <c r="O105" s="20"/>
      <c r="P105" s="21"/>
    </row>
    <row r="106" spans="1:16" ht="14.25" customHeight="1" x14ac:dyDescent="0.2">
      <c r="A106" s="7"/>
      <c r="B106" s="8"/>
      <c r="C106" s="11"/>
      <c r="D106" s="4"/>
      <c r="E106" s="2"/>
      <c r="F106" s="2"/>
      <c r="G106" s="16">
        <v>12.7613</v>
      </c>
      <c r="H106" s="16">
        <v>13.245100000000001</v>
      </c>
      <c r="K106" s="19"/>
      <c r="L106" s="15"/>
      <c r="M106" s="15"/>
      <c r="N106" s="19"/>
      <c r="O106" s="20"/>
      <c r="P106" s="21"/>
    </row>
    <row r="107" spans="1:16" ht="14.25" customHeight="1" x14ac:dyDescent="0.2">
      <c r="A107" s="7"/>
      <c r="B107" s="8"/>
      <c r="C107" s="11"/>
      <c r="D107" s="4"/>
      <c r="E107" s="2"/>
      <c r="F107" s="2"/>
      <c r="G107" s="16">
        <v>13.9018</v>
      </c>
      <c r="H107" s="16">
        <v>14.016999999999999</v>
      </c>
      <c r="K107" s="19"/>
      <c r="L107" s="15"/>
      <c r="M107" s="15"/>
      <c r="N107" s="19"/>
      <c r="O107" s="20"/>
      <c r="P107" s="21"/>
    </row>
    <row r="108" spans="1:16" ht="14.25" customHeight="1" x14ac:dyDescent="0.2">
      <c r="A108" s="7"/>
      <c r="B108" s="8"/>
      <c r="C108" s="11"/>
      <c r="D108" s="4"/>
      <c r="E108" s="2"/>
      <c r="F108" s="2"/>
      <c r="G108" s="16">
        <v>14.0265</v>
      </c>
      <c r="H108" s="16">
        <v>13.9971</v>
      </c>
      <c r="K108" s="19"/>
      <c r="L108" s="15"/>
      <c r="M108" s="15"/>
      <c r="N108" s="19"/>
      <c r="O108" s="20"/>
      <c r="P108" s="21"/>
    </row>
    <row r="109" spans="1:16" ht="14.25" customHeight="1" x14ac:dyDescent="0.2">
      <c r="A109" s="9"/>
      <c r="B109" s="10"/>
      <c r="C109" s="12"/>
      <c r="D109" s="13"/>
      <c r="E109" s="2"/>
      <c r="F109" s="2"/>
      <c r="G109" s="16">
        <v>14.0265</v>
      </c>
      <c r="H109" s="16">
        <v>13.9971</v>
      </c>
      <c r="K109" s="19"/>
      <c r="L109" s="15"/>
      <c r="M109" s="15"/>
      <c r="N109" s="19"/>
      <c r="O109" s="20"/>
      <c r="P109" s="21"/>
    </row>
    <row r="110" spans="1:16" ht="14.25" customHeight="1" x14ac:dyDescent="0.2"/>
    <row r="111" spans="1:16" ht="14.25" customHeight="1" x14ac:dyDescent="0.2"/>
    <row r="112" spans="1:16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</sheetData>
  <mergeCells count="92">
    <mergeCell ref="O5:O109"/>
    <mergeCell ref="P5:P109"/>
    <mergeCell ref="O1:P2"/>
    <mergeCell ref="O3:O4"/>
    <mergeCell ref="P3:P4"/>
    <mergeCell ref="K10:K14"/>
    <mergeCell ref="L10:L14"/>
    <mergeCell ref="K15:K19"/>
    <mergeCell ref="L15:L19"/>
    <mergeCell ref="M5:M9"/>
    <mergeCell ref="N5:N9"/>
    <mergeCell ref="K1:L2"/>
    <mergeCell ref="K3:K4"/>
    <mergeCell ref="L3:L4"/>
    <mergeCell ref="M1:N2"/>
    <mergeCell ref="M3:M4"/>
    <mergeCell ref="N3:N4"/>
    <mergeCell ref="G1:G4"/>
    <mergeCell ref="H1:H4"/>
    <mergeCell ref="K100:K104"/>
    <mergeCell ref="L100:L104"/>
    <mergeCell ref="K105:K109"/>
    <mergeCell ref="L105:L109"/>
    <mergeCell ref="M60:M109"/>
    <mergeCell ref="N60:N109"/>
    <mergeCell ref="K95:K99"/>
    <mergeCell ref="L95:L99"/>
    <mergeCell ref="K90:K94"/>
    <mergeCell ref="L90:L94"/>
    <mergeCell ref="K85:K89"/>
    <mergeCell ref="L85:L89"/>
    <mergeCell ref="K80:K84"/>
    <mergeCell ref="L80:L84"/>
    <mergeCell ref="K75:K79"/>
    <mergeCell ref="L75:L79"/>
    <mergeCell ref="K70:K74"/>
    <mergeCell ref="L70:L74"/>
    <mergeCell ref="K65:K69"/>
    <mergeCell ref="L65:L69"/>
    <mergeCell ref="K60:K64"/>
    <mergeCell ref="L60:L64"/>
    <mergeCell ref="K55:K59"/>
    <mergeCell ref="L55:L59"/>
    <mergeCell ref="M10:M59"/>
    <mergeCell ref="N10:N59"/>
    <mergeCell ref="K50:K54"/>
    <mergeCell ref="L50:L54"/>
    <mergeCell ref="K45:K49"/>
    <mergeCell ref="L45:L49"/>
    <mergeCell ref="K40:K44"/>
    <mergeCell ref="L40:L44"/>
    <mergeCell ref="K35:K39"/>
    <mergeCell ref="L35:L39"/>
    <mergeCell ref="K30:K34"/>
    <mergeCell ref="L30:L34"/>
    <mergeCell ref="K25:K29"/>
    <mergeCell ref="L25:L29"/>
    <mergeCell ref="K20:K24"/>
    <mergeCell ref="L20:L24"/>
    <mergeCell ref="K5:K9"/>
    <mergeCell ref="L5:L9"/>
    <mergeCell ref="E90:F94"/>
    <mergeCell ref="E95:F99"/>
    <mergeCell ref="E100:F104"/>
    <mergeCell ref="E105:F109"/>
    <mergeCell ref="A60:B109"/>
    <mergeCell ref="C60:D84"/>
    <mergeCell ref="C85:D109"/>
    <mergeCell ref="E60:F64"/>
    <mergeCell ref="E65:F69"/>
    <mergeCell ref="E70:F74"/>
    <mergeCell ref="E75:F79"/>
    <mergeCell ref="E80:F84"/>
    <mergeCell ref="E85:F89"/>
    <mergeCell ref="E1:F4"/>
    <mergeCell ref="C10:D34"/>
    <mergeCell ref="C35:D59"/>
    <mergeCell ref="E35:F39"/>
    <mergeCell ref="E40:F44"/>
    <mergeCell ref="E45:F49"/>
    <mergeCell ref="E50:F54"/>
    <mergeCell ref="E55:F59"/>
    <mergeCell ref="E10:F14"/>
    <mergeCell ref="E15:F19"/>
    <mergeCell ref="E20:F24"/>
    <mergeCell ref="E25:F29"/>
    <mergeCell ref="E30:F34"/>
    <mergeCell ref="E5:F9"/>
    <mergeCell ref="A10:B59"/>
    <mergeCell ref="A1:D4"/>
    <mergeCell ref="A5:B9"/>
    <mergeCell ref="C5:D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09376-26EB-4663-A285-5B1A5536F246}">
  <dimension ref="A1:P119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A110" sqref="A1:P1048576"/>
    </sheetView>
  </sheetViews>
  <sheetFormatPr defaultRowHeight="15.75" x14ac:dyDescent="0.2"/>
  <cols>
    <col min="1" max="6" width="9" style="1"/>
    <col min="7" max="7" width="15.75" style="17" customWidth="1"/>
    <col min="8" max="8" width="17.25" style="17" customWidth="1"/>
    <col min="9" max="10" width="9" style="14"/>
    <col min="11" max="12" width="15.875" style="1" customWidth="1"/>
    <col min="13" max="16" width="17.75" style="1" customWidth="1"/>
    <col min="17" max="16384" width="9" style="1"/>
  </cols>
  <sheetData>
    <row r="1" spans="1:16" ht="14.25" customHeight="1" x14ac:dyDescent="0.2">
      <c r="A1" s="2" t="s">
        <v>0</v>
      </c>
      <c r="B1" s="2"/>
      <c r="C1" s="2"/>
      <c r="D1" s="2"/>
      <c r="E1" s="2" t="s">
        <v>8</v>
      </c>
      <c r="F1" s="2"/>
      <c r="G1" s="2" t="s">
        <v>12</v>
      </c>
      <c r="H1" s="2" t="s">
        <v>13</v>
      </c>
      <c r="K1" s="18" t="s">
        <v>15</v>
      </c>
      <c r="L1" s="18"/>
      <c r="M1" s="18" t="s">
        <v>16</v>
      </c>
      <c r="N1" s="18"/>
      <c r="O1" s="18" t="s">
        <v>17</v>
      </c>
      <c r="P1" s="18"/>
    </row>
    <row r="2" spans="1:16" ht="14.25" customHeight="1" x14ac:dyDescent="0.2">
      <c r="A2" s="2"/>
      <c r="B2" s="2"/>
      <c r="C2" s="2"/>
      <c r="D2" s="2"/>
      <c r="E2" s="2"/>
      <c r="F2" s="2"/>
      <c r="G2" s="2"/>
      <c r="H2" s="2"/>
      <c r="K2" s="18"/>
      <c r="L2" s="18"/>
      <c r="M2" s="18"/>
      <c r="N2" s="18"/>
      <c r="O2" s="18"/>
      <c r="P2" s="18"/>
    </row>
    <row r="3" spans="1:16" ht="14.25" customHeight="1" x14ac:dyDescent="0.2">
      <c r="A3" s="2"/>
      <c r="B3" s="2"/>
      <c r="C3" s="2"/>
      <c r="D3" s="2"/>
      <c r="E3" s="2"/>
      <c r="F3" s="2"/>
      <c r="G3" s="2"/>
      <c r="H3" s="2"/>
      <c r="K3" s="18" t="s">
        <v>12</v>
      </c>
      <c r="L3" s="18" t="s">
        <v>13</v>
      </c>
      <c r="M3" s="18" t="s">
        <v>12</v>
      </c>
      <c r="N3" s="18" t="s">
        <v>13</v>
      </c>
      <c r="O3" s="18" t="s">
        <v>12</v>
      </c>
      <c r="P3" s="18" t="s">
        <v>13</v>
      </c>
    </row>
    <row r="4" spans="1:16" ht="14.25" customHeight="1" x14ac:dyDescent="0.2">
      <c r="A4" s="2"/>
      <c r="B4" s="2"/>
      <c r="C4" s="2"/>
      <c r="D4" s="2"/>
      <c r="E4" s="2"/>
      <c r="F4" s="2"/>
      <c r="G4" s="2"/>
      <c r="H4" s="2"/>
      <c r="K4" s="18"/>
      <c r="L4" s="18"/>
      <c r="M4" s="18"/>
      <c r="N4" s="18"/>
      <c r="O4" s="18"/>
      <c r="P4" s="18"/>
    </row>
    <row r="5" spans="1:16" ht="14.25" customHeight="1" x14ac:dyDescent="0.2">
      <c r="A5" s="2" t="s">
        <v>1</v>
      </c>
      <c r="B5" s="2"/>
      <c r="C5" s="2" t="s">
        <v>2</v>
      </c>
      <c r="D5" s="2"/>
      <c r="E5" s="2" t="s">
        <v>2</v>
      </c>
      <c r="F5" s="2"/>
      <c r="G5" s="16">
        <v>16.186699999999998</v>
      </c>
      <c r="H5" s="16">
        <v>15.2445</v>
      </c>
      <c r="K5" s="19">
        <f>MEDIAN(G5:G9)</f>
        <v>14.655099999999999</v>
      </c>
      <c r="L5" s="15">
        <f>MEDIAN(H5:H9)</f>
        <v>14.2059</v>
      </c>
      <c r="M5" s="19">
        <f>AVERAGE(K5)</f>
        <v>14.655099999999999</v>
      </c>
      <c r="N5" s="15">
        <f>AVERAGE(L5)</f>
        <v>14.2059</v>
      </c>
      <c r="O5" s="20">
        <f>AVERAGE(K5:K109)</f>
        <v>12.469866666666668</v>
      </c>
      <c r="P5" s="21">
        <f>AVERAGE(L5:L109)</f>
        <v>12.283142857142858</v>
      </c>
    </row>
    <row r="6" spans="1:16" ht="14.25" customHeight="1" x14ac:dyDescent="0.2">
      <c r="A6" s="2"/>
      <c r="B6" s="2"/>
      <c r="C6" s="2"/>
      <c r="D6" s="2"/>
      <c r="E6" s="2"/>
      <c r="F6" s="2"/>
      <c r="G6" s="16">
        <v>13.9986</v>
      </c>
      <c r="H6" s="16">
        <v>14.2059</v>
      </c>
      <c r="K6" s="19"/>
      <c r="L6" s="15"/>
      <c r="M6" s="19"/>
      <c r="N6" s="15"/>
      <c r="O6" s="20"/>
      <c r="P6" s="21"/>
    </row>
    <row r="7" spans="1:16" ht="14.25" customHeight="1" x14ac:dyDescent="0.2">
      <c r="A7" s="2"/>
      <c r="B7" s="2"/>
      <c r="C7" s="2"/>
      <c r="D7" s="2"/>
      <c r="E7" s="2"/>
      <c r="F7" s="2"/>
      <c r="G7" s="16">
        <v>14.5679</v>
      </c>
      <c r="H7" s="16">
        <v>14.907500000000001</v>
      </c>
      <c r="K7" s="19"/>
      <c r="L7" s="15"/>
      <c r="M7" s="19"/>
      <c r="N7" s="15"/>
      <c r="O7" s="20"/>
      <c r="P7" s="21"/>
    </row>
    <row r="8" spans="1:16" ht="14.25" customHeight="1" x14ac:dyDescent="0.2">
      <c r="A8" s="2"/>
      <c r="B8" s="2"/>
      <c r="C8" s="2"/>
      <c r="D8" s="2"/>
      <c r="E8" s="2"/>
      <c r="F8" s="2"/>
      <c r="G8" s="16">
        <v>14.655099999999999</v>
      </c>
      <c r="H8" s="16">
        <v>13.5441</v>
      </c>
      <c r="K8" s="19"/>
      <c r="L8" s="15"/>
      <c r="M8" s="19"/>
      <c r="N8" s="15"/>
      <c r="O8" s="20"/>
      <c r="P8" s="21"/>
    </row>
    <row r="9" spans="1:16" ht="14.25" customHeight="1" x14ac:dyDescent="0.2">
      <c r="A9" s="2"/>
      <c r="B9" s="2"/>
      <c r="C9" s="2"/>
      <c r="D9" s="2"/>
      <c r="E9" s="2"/>
      <c r="F9" s="2"/>
      <c r="G9" s="16">
        <v>14.655099999999999</v>
      </c>
      <c r="H9" s="16">
        <v>13.5441</v>
      </c>
      <c r="K9" s="19"/>
      <c r="L9" s="15"/>
      <c r="M9" s="19"/>
      <c r="N9" s="15"/>
      <c r="O9" s="20"/>
      <c r="P9" s="21"/>
    </row>
    <row r="10" spans="1:16" ht="14.25" customHeight="1" x14ac:dyDescent="0.2">
      <c r="A10" s="5" t="s">
        <v>7</v>
      </c>
      <c r="B10" s="6"/>
      <c r="C10" s="5" t="s">
        <v>9</v>
      </c>
      <c r="D10" s="3"/>
      <c r="E10" s="2" t="s">
        <v>2</v>
      </c>
      <c r="F10" s="2"/>
      <c r="G10" s="16">
        <v>15.7529</v>
      </c>
      <c r="H10" s="16">
        <v>14.006500000000001</v>
      </c>
      <c r="K10" s="19">
        <f t="shared" ref="K10:L10" si="0">MEDIAN(G10:G14)</f>
        <v>15.7529</v>
      </c>
      <c r="L10" s="15">
        <f t="shared" si="0"/>
        <v>15.389699999999999</v>
      </c>
      <c r="M10" s="19">
        <f>AVERAGE(K10:K59)</f>
        <v>11.729760000000001</v>
      </c>
      <c r="N10" s="15">
        <f>AVERAGE(L10:L59)</f>
        <v>11.44922</v>
      </c>
      <c r="O10" s="20"/>
      <c r="P10" s="21"/>
    </row>
    <row r="11" spans="1:16" ht="14.25" customHeight="1" x14ac:dyDescent="0.2">
      <c r="A11" s="7"/>
      <c r="B11" s="8"/>
      <c r="C11" s="11"/>
      <c r="D11" s="4"/>
      <c r="E11" s="2"/>
      <c r="F11" s="2"/>
      <c r="G11" s="16">
        <v>15.7989</v>
      </c>
      <c r="H11" s="16">
        <v>14.933400000000001</v>
      </c>
      <c r="K11" s="19"/>
      <c r="L11" s="15"/>
      <c r="M11" s="19"/>
      <c r="N11" s="15"/>
      <c r="O11" s="20"/>
      <c r="P11" s="21"/>
    </row>
    <row r="12" spans="1:16" ht="14.25" customHeight="1" x14ac:dyDescent="0.2">
      <c r="A12" s="7"/>
      <c r="B12" s="8"/>
      <c r="C12" s="11"/>
      <c r="D12" s="4"/>
      <c r="E12" s="2"/>
      <c r="F12" s="2"/>
      <c r="G12" s="16">
        <v>15.894500000000001</v>
      </c>
      <c r="H12" s="16">
        <v>15.389699999999999</v>
      </c>
      <c r="K12" s="19"/>
      <c r="L12" s="15"/>
      <c r="M12" s="19"/>
      <c r="N12" s="15"/>
      <c r="O12" s="20"/>
      <c r="P12" s="21"/>
    </row>
    <row r="13" spans="1:16" ht="14.25" customHeight="1" x14ac:dyDescent="0.2">
      <c r="A13" s="7"/>
      <c r="B13" s="8"/>
      <c r="C13" s="11"/>
      <c r="D13" s="4"/>
      <c r="E13" s="2"/>
      <c r="F13" s="2"/>
      <c r="G13" s="16">
        <v>14.537100000000001</v>
      </c>
      <c r="H13" s="16">
        <v>15.770200000000001</v>
      </c>
      <c r="K13" s="19"/>
      <c r="L13" s="15"/>
      <c r="M13" s="19"/>
      <c r="N13" s="15"/>
      <c r="O13" s="20"/>
      <c r="P13" s="21"/>
    </row>
    <row r="14" spans="1:16" ht="14.25" customHeight="1" x14ac:dyDescent="0.2">
      <c r="A14" s="7"/>
      <c r="B14" s="8"/>
      <c r="C14" s="11"/>
      <c r="D14" s="4"/>
      <c r="E14" s="2"/>
      <c r="F14" s="2"/>
      <c r="G14" s="16">
        <v>14.537100000000001</v>
      </c>
      <c r="H14" s="16">
        <v>15.770200000000001</v>
      </c>
      <c r="K14" s="19"/>
      <c r="L14" s="15"/>
      <c r="M14" s="19"/>
      <c r="N14" s="15"/>
      <c r="O14" s="20"/>
      <c r="P14" s="21"/>
    </row>
    <row r="15" spans="1:16" ht="14.25" customHeight="1" x14ac:dyDescent="0.2">
      <c r="A15" s="7"/>
      <c r="B15" s="8"/>
      <c r="C15" s="11"/>
      <c r="D15" s="4"/>
      <c r="E15" s="2" t="s">
        <v>3</v>
      </c>
      <c r="F15" s="2"/>
      <c r="G15" s="16">
        <v>13.3085</v>
      </c>
      <c r="H15" s="16">
        <v>13.8637</v>
      </c>
      <c r="K15" s="19">
        <f t="shared" ref="K15:L15" si="1">MEDIAN(G15:G19)</f>
        <v>13.647399999999999</v>
      </c>
      <c r="L15" s="15">
        <f t="shared" si="1"/>
        <v>13.404299999999999</v>
      </c>
      <c r="M15" s="19"/>
      <c r="N15" s="15"/>
      <c r="O15" s="20"/>
      <c r="P15" s="21"/>
    </row>
    <row r="16" spans="1:16" ht="14.25" customHeight="1" x14ac:dyDescent="0.2">
      <c r="A16" s="7"/>
      <c r="B16" s="8"/>
      <c r="C16" s="11"/>
      <c r="D16" s="4"/>
      <c r="E16" s="2"/>
      <c r="F16" s="2"/>
      <c r="G16" s="16">
        <v>13.647399999999999</v>
      </c>
      <c r="H16" s="16">
        <v>13.202199999999999</v>
      </c>
      <c r="K16" s="19"/>
      <c r="L16" s="15"/>
      <c r="M16" s="19"/>
      <c r="N16" s="15"/>
      <c r="O16" s="20"/>
      <c r="P16" s="21"/>
    </row>
    <row r="17" spans="1:16" ht="14.25" customHeight="1" x14ac:dyDescent="0.2">
      <c r="A17" s="7"/>
      <c r="B17" s="8"/>
      <c r="C17" s="11"/>
      <c r="D17" s="4"/>
      <c r="E17" s="2"/>
      <c r="F17" s="2"/>
      <c r="G17" s="16">
        <v>12.8203</v>
      </c>
      <c r="H17" s="16">
        <v>13.7217</v>
      </c>
      <c r="K17" s="19"/>
      <c r="L17" s="15"/>
      <c r="M17" s="19"/>
      <c r="N17" s="15"/>
      <c r="O17" s="20"/>
      <c r="P17" s="21"/>
    </row>
    <row r="18" spans="1:16" ht="14.25" customHeight="1" x14ac:dyDescent="0.2">
      <c r="A18" s="7"/>
      <c r="B18" s="8"/>
      <c r="C18" s="11"/>
      <c r="D18" s="4"/>
      <c r="E18" s="2"/>
      <c r="F18" s="2"/>
      <c r="G18" s="16">
        <v>13.7491</v>
      </c>
      <c r="H18" s="16">
        <v>13.404299999999999</v>
      </c>
      <c r="K18" s="19"/>
      <c r="L18" s="15"/>
      <c r="M18" s="19"/>
      <c r="N18" s="15"/>
      <c r="O18" s="20"/>
      <c r="P18" s="21"/>
    </row>
    <row r="19" spans="1:16" ht="14.25" customHeight="1" x14ac:dyDescent="0.2">
      <c r="A19" s="7"/>
      <c r="B19" s="8"/>
      <c r="C19" s="11"/>
      <c r="D19" s="4"/>
      <c r="E19" s="2"/>
      <c r="F19" s="2"/>
      <c r="G19" s="16">
        <v>13.7491</v>
      </c>
      <c r="H19" s="16">
        <v>13.404299999999999</v>
      </c>
      <c r="K19" s="19"/>
      <c r="L19" s="15"/>
      <c r="M19" s="19"/>
      <c r="N19" s="15"/>
      <c r="O19" s="20"/>
      <c r="P19" s="21"/>
    </row>
    <row r="20" spans="1:16" ht="14.25" customHeight="1" x14ac:dyDescent="0.2">
      <c r="A20" s="7"/>
      <c r="B20" s="8"/>
      <c r="C20" s="11"/>
      <c r="D20" s="4"/>
      <c r="E20" s="2" t="s">
        <v>4</v>
      </c>
      <c r="F20" s="2"/>
      <c r="G20" s="16">
        <v>13.5251</v>
      </c>
      <c r="H20" s="16">
        <v>13.8346</v>
      </c>
      <c r="K20" s="15">
        <f t="shared" ref="K20:L20" si="2">MEDIAN(G20:G24)</f>
        <v>14.1227</v>
      </c>
      <c r="L20" s="19">
        <f t="shared" si="2"/>
        <v>14.7417</v>
      </c>
      <c r="M20" s="19"/>
      <c r="N20" s="15"/>
      <c r="O20" s="20"/>
      <c r="P20" s="21"/>
    </row>
    <row r="21" spans="1:16" ht="14.25" customHeight="1" x14ac:dyDescent="0.2">
      <c r="A21" s="7"/>
      <c r="B21" s="8"/>
      <c r="C21" s="11"/>
      <c r="D21" s="4"/>
      <c r="E21" s="2"/>
      <c r="F21" s="2"/>
      <c r="G21" s="16">
        <v>13.5205</v>
      </c>
      <c r="H21" s="16">
        <v>14.7417</v>
      </c>
      <c r="K21" s="15"/>
      <c r="L21" s="19"/>
      <c r="M21" s="19"/>
      <c r="N21" s="15"/>
      <c r="O21" s="20"/>
      <c r="P21" s="21"/>
    </row>
    <row r="22" spans="1:16" ht="14.25" customHeight="1" x14ac:dyDescent="0.2">
      <c r="A22" s="7"/>
      <c r="B22" s="8"/>
      <c r="C22" s="11"/>
      <c r="D22" s="4"/>
      <c r="E22" s="2"/>
      <c r="F22" s="2"/>
      <c r="G22" s="16">
        <v>14.7707</v>
      </c>
      <c r="H22" s="16">
        <v>14.626200000000001</v>
      </c>
      <c r="K22" s="15"/>
      <c r="L22" s="19"/>
      <c r="M22" s="19"/>
      <c r="N22" s="15"/>
      <c r="O22" s="20"/>
      <c r="P22" s="21"/>
    </row>
    <row r="23" spans="1:16" ht="14.25" customHeight="1" x14ac:dyDescent="0.2">
      <c r="A23" s="7"/>
      <c r="B23" s="8"/>
      <c r="C23" s="11"/>
      <c r="D23" s="4"/>
      <c r="E23" s="2"/>
      <c r="F23" s="2"/>
      <c r="G23" s="16">
        <v>14.1227</v>
      </c>
      <c r="H23" s="16">
        <v>14.763500000000001</v>
      </c>
      <c r="K23" s="15"/>
      <c r="L23" s="19"/>
      <c r="M23" s="19"/>
      <c r="N23" s="15"/>
      <c r="O23" s="20"/>
      <c r="P23" s="21"/>
    </row>
    <row r="24" spans="1:16" ht="14.25" customHeight="1" x14ac:dyDescent="0.2">
      <c r="A24" s="7"/>
      <c r="B24" s="8"/>
      <c r="C24" s="11"/>
      <c r="D24" s="4"/>
      <c r="E24" s="2"/>
      <c r="F24" s="2"/>
      <c r="G24" s="16">
        <v>14.1227</v>
      </c>
      <c r="H24" s="16">
        <v>14.763500000000001</v>
      </c>
      <c r="K24" s="15"/>
      <c r="L24" s="19"/>
      <c r="M24" s="19"/>
      <c r="N24" s="15"/>
      <c r="O24" s="20"/>
      <c r="P24" s="21"/>
    </row>
    <row r="25" spans="1:16" ht="14.25" customHeight="1" x14ac:dyDescent="0.2">
      <c r="A25" s="7"/>
      <c r="B25" s="8"/>
      <c r="C25" s="11"/>
      <c r="D25" s="4"/>
      <c r="E25" s="2" t="s">
        <v>5</v>
      </c>
      <c r="F25" s="2"/>
      <c r="G25" s="16">
        <v>14.5251</v>
      </c>
      <c r="H25" s="16">
        <v>14.3687</v>
      </c>
      <c r="K25" s="19">
        <f t="shared" ref="K25:L25" si="3">MEDIAN(G25:G29)</f>
        <v>14.56</v>
      </c>
      <c r="L25" s="15">
        <f t="shared" si="3"/>
        <v>14.417999999999999</v>
      </c>
      <c r="M25" s="19"/>
      <c r="N25" s="15"/>
      <c r="O25" s="20"/>
      <c r="P25" s="21"/>
    </row>
    <row r="26" spans="1:16" ht="14.25" customHeight="1" x14ac:dyDescent="0.2">
      <c r="A26" s="7"/>
      <c r="B26" s="8"/>
      <c r="C26" s="11"/>
      <c r="D26" s="4"/>
      <c r="E26" s="2"/>
      <c r="F26" s="2"/>
      <c r="G26" s="16">
        <v>14.328200000000001</v>
      </c>
      <c r="H26" s="16">
        <v>14.247299999999999</v>
      </c>
      <c r="K26" s="19"/>
      <c r="L26" s="15"/>
      <c r="M26" s="19"/>
      <c r="N26" s="15"/>
      <c r="O26" s="20"/>
      <c r="P26" s="21"/>
    </row>
    <row r="27" spans="1:16" ht="14.25" customHeight="1" x14ac:dyDescent="0.2">
      <c r="A27" s="7"/>
      <c r="B27" s="8"/>
      <c r="C27" s="11"/>
      <c r="D27" s="4"/>
      <c r="E27" s="2"/>
      <c r="F27" s="2"/>
      <c r="G27" s="16">
        <v>14.65</v>
      </c>
      <c r="H27" s="16">
        <v>14.5753</v>
      </c>
      <c r="K27" s="19"/>
      <c r="L27" s="15"/>
      <c r="M27" s="19"/>
      <c r="N27" s="15"/>
      <c r="O27" s="20"/>
      <c r="P27" s="21"/>
    </row>
    <row r="28" spans="1:16" ht="14.25" customHeight="1" x14ac:dyDescent="0.2">
      <c r="A28" s="7"/>
      <c r="B28" s="8"/>
      <c r="C28" s="11"/>
      <c r="D28" s="4"/>
      <c r="E28" s="2"/>
      <c r="F28" s="2"/>
      <c r="G28" s="16">
        <v>14.56</v>
      </c>
      <c r="H28" s="16">
        <v>14.417999999999999</v>
      </c>
      <c r="K28" s="19"/>
      <c r="L28" s="15"/>
      <c r="M28" s="19"/>
      <c r="N28" s="15"/>
      <c r="O28" s="20"/>
      <c r="P28" s="21"/>
    </row>
    <row r="29" spans="1:16" ht="14.25" customHeight="1" x14ac:dyDescent="0.2">
      <c r="A29" s="7"/>
      <c r="B29" s="8"/>
      <c r="C29" s="11"/>
      <c r="D29" s="4"/>
      <c r="E29" s="2"/>
      <c r="F29" s="2"/>
      <c r="G29" s="16">
        <v>14.56</v>
      </c>
      <c r="H29" s="16">
        <v>14.417999999999999</v>
      </c>
      <c r="K29" s="19"/>
      <c r="L29" s="15"/>
      <c r="M29" s="19"/>
      <c r="N29" s="15"/>
      <c r="O29" s="20"/>
      <c r="P29" s="21"/>
    </row>
    <row r="30" spans="1:16" ht="14.25" customHeight="1" x14ac:dyDescent="0.2">
      <c r="A30" s="7"/>
      <c r="B30" s="8"/>
      <c r="C30" s="11"/>
      <c r="D30" s="4"/>
      <c r="E30" s="2" t="s">
        <v>6</v>
      </c>
      <c r="F30" s="2"/>
      <c r="G30" s="16">
        <v>13.722200000000001</v>
      </c>
      <c r="H30" s="16">
        <v>12.533200000000001</v>
      </c>
      <c r="K30" s="19">
        <f t="shared" ref="K30:L30" si="4">MEDIAN(G30:G34)</f>
        <v>13.7507</v>
      </c>
      <c r="L30" s="15">
        <f t="shared" si="4"/>
        <v>13.0703</v>
      </c>
      <c r="M30" s="19"/>
      <c r="N30" s="15"/>
      <c r="O30" s="20"/>
      <c r="P30" s="21"/>
    </row>
    <row r="31" spans="1:16" ht="14.25" customHeight="1" x14ac:dyDescent="0.2">
      <c r="A31" s="7"/>
      <c r="B31" s="8"/>
      <c r="C31" s="11"/>
      <c r="D31" s="4"/>
      <c r="E31" s="2"/>
      <c r="F31" s="2"/>
      <c r="G31" s="16">
        <v>13.7293</v>
      </c>
      <c r="H31" s="16">
        <v>12.346399999999999</v>
      </c>
      <c r="K31" s="19"/>
      <c r="L31" s="15"/>
      <c r="M31" s="19"/>
      <c r="N31" s="15"/>
      <c r="O31" s="20"/>
      <c r="P31" s="21"/>
    </row>
    <row r="32" spans="1:16" ht="14.25" customHeight="1" x14ac:dyDescent="0.2">
      <c r="A32" s="7"/>
      <c r="B32" s="8"/>
      <c r="C32" s="11"/>
      <c r="D32" s="4"/>
      <c r="E32" s="2"/>
      <c r="F32" s="2"/>
      <c r="G32" s="16">
        <v>13.7507</v>
      </c>
      <c r="H32" s="16">
        <v>14.0823</v>
      </c>
      <c r="K32" s="19"/>
      <c r="L32" s="15"/>
      <c r="M32" s="19"/>
      <c r="N32" s="15"/>
      <c r="O32" s="20"/>
      <c r="P32" s="21"/>
    </row>
    <row r="33" spans="1:16" ht="14.25" customHeight="1" x14ac:dyDescent="0.2">
      <c r="A33" s="7"/>
      <c r="B33" s="8"/>
      <c r="C33" s="11"/>
      <c r="D33" s="4"/>
      <c r="E33" s="2"/>
      <c r="F33" s="2"/>
      <c r="G33" s="16">
        <v>13.932</v>
      </c>
      <c r="H33" s="16">
        <v>13.0703</v>
      </c>
      <c r="K33" s="19"/>
      <c r="L33" s="15"/>
      <c r="M33" s="19"/>
      <c r="N33" s="15"/>
      <c r="O33" s="20"/>
      <c r="P33" s="21"/>
    </row>
    <row r="34" spans="1:16" ht="14.25" customHeight="1" x14ac:dyDescent="0.2">
      <c r="A34" s="7"/>
      <c r="B34" s="8"/>
      <c r="C34" s="12"/>
      <c r="D34" s="13"/>
      <c r="E34" s="2"/>
      <c r="F34" s="2"/>
      <c r="G34" s="16">
        <v>13.932</v>
      </c>
      <c r="H34" s="16">
        <v>13.0703</v>
      </c>
      <c r="K34" s="19"/>
      <c r="L34" s="15"/>
      <c r="M34" s="19"/>
      <c r="N34" s="15"/>
      <c r="O34" s="20"/>
      <c r="P34" s="21"/>
    </row>
    <row r="35" spans="1:16" ht="14.25" customHeight="1" x14ac:dyDescent="0.2">
      <c r="A35" s="7"/>
      <c r="B35" s="8"/>
      <c r="C35" s="5" t="s">
        <v>10</v>
      </c>
      <c r="D35" s="3"/>
      <c r="E35" s="2" t="s">
        <v>2</v>
      </c>
      <c r="F35" s="2"/>
      <c r="G35" s="16">
        <v>9.0557999999999996</v>
      </c>
      <c r="H35" s="16">
        <v>8.5960000000000001</v>
      </c>
      <c r="K35" s="19">
        <f t="shared" ref="K35:L35" si="5">MEDIAN(G35:G39)</f>
        <v>8.8026</v>
      </c>
      <c r="L35" s="15">
        <f t="shared" si="5"/>
        <v>8.7232000000000003</v>
      </c>
      <c r="M35" s="19"/>
      <c r="N35" s="15"/>
      <c r="O35" s="20"/>
      <c r="P35" s="21"/>
    </row>
    <row r="36" spans="1:16" ht="14.25" customHeight="1" x14ac:dyDescent="0.2">
      <c r="A36" s="7"/>
      <c r="B36" s="8"/>
      <c r="C36" s="11"/>
      <c r="D36" s="4"/>
      <c r="E36" s="2"/>
      <c r="F36" s="2"/>
      <c r="G36" s="16">
        <v>9.0752000000000006</v>
      </c>
      <c r="H36" s="16">
        <v>8.7232000000000003</v>
      </c>
      <c r="K36" s="19"/>
      <c r="L36" s="15"/>
      <c r="M36" s="19"/>
      <c r="N36" s="15"/>
      <c r="O36" s="20"/>
      <c r="P36" s="21"/>
    </row>
    <row r="37" spans="1:16" ht="14.25" customHeight="1" x14ac:dyDescent="0.2">
      <c r="A37" s="7"/>
      <c r="B37" s="8"/>
      <c r="C37" s="11"/>
      <c r="D37" s="4"/>
      <c r="E37" s="2"/>
      <c r="F37" s="2"/>
      <c r="G37" s="16">
        <v>8.7591999999999999</v>
      </c>
      <c r="H37" s="16">
        <v>8.3362999999999996</v>
      </c>
      <c r="K37" s="19"/>
      <c r="L37" s="15"/>
      <c r="M37" s="19"/>
      <c r="N37" s="15"/>
      <c r="O37" s="20"/>
      <c r="P37" s="21"/>
    </row>
    <row r="38" spans="1:16" ht="14.25" customHeight="1" x14ac:dyDescent="0.2">
      <c r="A38" s="7"/>
      <c r="B38" s="8"/>
      <c r="C38" s="11"/>
      <c r="D38" s="4"/>
      <c r="E38" s="2"/>
      <c r="F38" s="2"/>
      <c r="G38" s="16">
        <v>8.8026</v>
      </c>
      <c r="H38" s="16">
        <v>8.9684000000000008</v>
      </c>
      <c r="K38" s="19"/>
      <c r="L38" s="15"/>
      <c r="M38" s="19"/>
      <c r="N38" s="15"/>
      <c r="O38" s="20"/>
      <c r="P38" s="21"/>
    </row>
    <row r="39" spans="1:16" ht="14.25" customHeight="1" x14ac:dyDescent="0.2">
      <c r="A39" s="7"/>
      <c r="B39" s="8"/>
      <c r="C39" s="11"/>
      <c r="D39" s="4"/>
      <c r="E39" s="2"/>
      <c r="F39" s="2"/>
      <c r="G39" s="16">
        <v>8.8026</v>
      </c>
      <c r="H39" s="16">
        <v>8.9684000000000008</v>
      </c>
      <c r="K39" s="19"/>
      <c r="L39" s="15"/>
      <c r="M39" s="19"/>
      <c r="N39" s="15"/>
      <c r="O39" s="20"/>
      <c r="P39" s="21"/>
    </row>
    <row r="40" spans="1:16" ht="14.25" customHeight="1" x14ac:dyDescent="0.2">
      <c r="A40" s="7"/>
      <c r="B40" s="8"/>
      <c r="C40" s="11"/>
      <c r="D40" s="4"/>
      <c r="E40" s="2" t="s">
        <v>3</v>
      </c>
      <c r="F40" s="2"/>
      <c r="G40" s="16">
        <v>8.0823</v>
      </c>
      <c r="H40" s="16">
        <v>7.6765999999999996</v>
      </c>
      <c r="K40" s="19">
        <f t="shared" ref="K40:L40" si="6">MEDIAN(G40:G44)</f>
        <v>8.0823</v>
      </c>
      <c r="L40" s="15">
        <f t="shared" si="6"/>
        <v>7.6765999999999996</v>
      </c>
      <c r="M40" s="19"/>
      <c r="N40" s="15"/>
      <c r="O40" s="20"/>
      <c r="P40" s="21"/>
    </row>
    <row r="41" spans="1:16" ht="14.25" customHeight="1" x14ac:dyDescent="0.2">
      <c r="A41" s="7"/>
      <c r="B41" s="8"/>
      <c r="C41" s="11"/>
      <c r="D41" s="4"/>
      <c r="E41" s="2"/>
      <c r="F41" s="2"/>
      <c r="G41" s="16">
        <v>8.7002000000000006</v>
      </c>
      <c r="H41" s="16">
        <v>6.5315000000000003</v>
      </c>
      <c r="K41" s="19"/>
      <c r="L41" s="15"/>
      <c r="M41" s="19"/>
      <c r="N41" s="15"/>
      <c r="O41" s="20"/>
      <c r="P41" s="21"/>
    </row>
    <row r="42" spans="1:16" ht="14.25" customHeight="1" x14ac:dyDescent="0.2">
      <c r="A42" s="7"/>
      <c r="B42" s="8"/>
      <c r="C42" s="11"/>
      <c r="D42" s="4"/>
      <c r="E42" s="2"/>
      <c r="F42" s="2"/>
      <c r="G42" s="16">
        <v>8.2431999999999999</v>
      </c>
      <c r="H42" s="16">
        <v>6.4555999999999996</v>
      </c>
      <c r="K42" s="19"/>
      <c r="L42" s="15"/>
      <c r="M42" s="19"/>
      <c r="N42" s="15"/>
      <c r="O42" s="20"/>
      <c r="P42" s="21"/>
    </row>
    <row r="43" spans="1:16" ht="14.25" customHeight="1" x14ac:dyDescent="0.2">
      <c r="A43" s="7"/>
      <c r="B43" s="8"/>
      <c r="C43" s="11"/>
      <c r="D43" s="4"/>
      <c r="E43" s="2"/>
      <c r="F43" s="2"/>
      <c r="G43" s="16">
        <v>7.6196000000000002</v>
      </c>
      <c r="H43" s="16">
        <v>8.0435999999999996</v>
      </c>
      <c r="K43" s="19"/>
      <c r="L43" s="15"/>
      <c r="M43" s="19"/>
      <c r="N43" s="15"/>
      <c r="O43" s="20"/>
      <c r="P43" s="21"/>
    </row>
    <row r="44" spans="1:16" ht="14.25" customHeight="1" x14ac:dyDescent="0.2">
      <c r="A44" s="7"/>
      <c r="B44" s="8"/>
      <c r="C44" s="11"/>
      <c r="D44" s="4"/>
      <c r="E44" s="2"/>
      <c r="F44" s="2"/>
      <c r="G44" s="16">
        <v>7.6196000000000002</v>
      </c>
      <c r="H44" s="16">
        <v>8.0435999999999996</v>
      </c>
      <c r="K44" s="19"/>
      <c r="L44" s="15"/>
      <c r="M44" s="19"/>
      <c r="N44" s="15"/>
      <c r="O44" s="20"/>
      <c r="P44" s="21"/>
    </row>
    <row r="45" spans="1:16" ht="14.25" customHeight="1" x14ac:dyDescent="0.2">
      <c r="A45" s="7"/>
      <c r="B45" s="8"/>
      <c r="C45" s="11"/>
      <c r="D45" s="4"/>
      <c r="E45" s="2" t="s">
        <v>4</v>
      </c>
      <c r="F45" s="2"/>
      <c r="G45" s="16">
        <v>10.317500000000001</v>
      </c>
      <c r="H45" s="16">
        <v>9.8272999999999993</v>
      </c>
      <c r="K45" s="19">
        <f t="shared" ref="K45:L45" si="7">MEDIAN(G45:G49)</f>
        <v>10.0403</v>
      </c>
      <c r="L45" s="15">
        <f t="shared" si="7"/>
        <v>8.9343000000000004</v>
      </c>
      <c r="M45" s="19"/>
      <c r="N45" s="15"/>
      <c r="O45" s="20"/>
      <c r="P45" s="21"/>
    </row>
    <row r="46" spans="1:16" ht="14.25" customHeight="1" x14ac:dyDescent="0.2">
      <c r="A46" s="7"/>
      <c r="B46" s="8"/>
      <c r="C46" s="11"/>
      <c r="D46" s="4"/>
      <c r="E46" s="2"/>
      <c r="F46" s="2"/>
      <c r="G46" s="16">
        <v>10.347200000000001</v>
      </c>
      <c r="H46" s="16">
        <v>9.2608999999999995</v>
      </c>
      <c r="K46" s="19"/>
      <c r="L46" s="15"/>
      <c r="M46" s="19"/>
      <c r="N46" s="15"/>
      <c r="O46" s="20"/>
      <c r="P46" s="21"/>
    </row>
    <row r="47" spans="1:16" ht="14.25" customHeight="1" x14ac:dyDescent="0.2">
      <c r="A47" s="7"/>
      <c r="B47" s="8"/>
      <c r="C47" s="11"/>
      <c r="D47" s="4"/>
      <c r="E47" s="2"/>
      <c r="F47" s="2"/>
      <c r="G47" s="16">
        <v>10.0403</v>
      </c>
      <c r="H47" s="16">
        <v>7.9038000000000004</v>
      </c>
      <c r="K47" s="19"/>
      <c r="L47" s="15"/>
      <c r="M47" s="19"/>
      <c r="N47" s="15"/>
      <c r="O47" s="20"/>
      <c r="P47" s="21"/>
    </row>
    <row r="48" spans="1:16" ht="14.25" customHeight="1" x14ac:dyDescent="0.2">
      <c r="A48" s="7"/>
      <c r="B48" s="8"/>
      <c r="C48" s="11"/>
      <c r="D48" s="4"/>
      <c r="E48" s="2"/>
      <c r="F48" s="2"/>
      <c r="G48" s="16">
        <v>9.0759000000000007</v>
      </c>
      <c r="H48" s="16">
        <v>8.9343000000000004</v>
      </c>
      <c r="K48" s="19"/>
      <c r="L48" s="15"/>
      <c r="M48" s="19"/>
      <c r="N48" s="15"/>
      <c r="O48" s="20"/>
      <c r="P48" s="21"/>
    </row>
    <row r="49" spans="1:16" ht="14.25" customHeight="1" x14ac:dyDescent="0.2">
      <c r="A49" s="7"/>
      <c r="B49" s="8"/>
      <c r="C49" s="11"/>
      <c r="D49" s="4"/>
      <c r="E49" s="2"/>
      <c r="F49" s="2"/>
      <c r="G49" s="16">
        <v>9.0759000000000007</v>
      </c>
      <c r="H49" s="16">
        <v>8.9343000000000004</v>
      </c>
      <c r="K49" s="19"/>
      <c r="L49" s="15"/>
      <c r="M49" s="19"/>
      <c r="N49" s="15"/>
      <c r="O49" s="20"/>
      <c r="P49" s="21"/>
    </row>
    <row r="50" spans="1:16" ht="14.25" customHeight="1" x14ac:dyDescent="0.2">
      <c r="A50" s="7"/>
      <c r="B50" s="8"/>
      <c r="C50" s="11"/>
      <c r="D50" s="4"/>
      <c r="E50" s="2" t="s">
        <v>5</v>
      </c>
      <c r="F50" s="2"/>
      <c r="G50" s="16">
        <v>10.0441</v>
      </c>
      <c r="H50" s="16">
        <v>9.3452000000000002</v>
      </c>
      <c r="K50" s="19">
        <f t="shared" ref="K50:L50" si="8">MEDIAN(G50:G54)</f>
        <v>10.1693</v>
      </c>
      <c r="L50" s="15">
        <f t="shared" si="8"/>
        <v>9.3452000000000002</v>
      </c>
      <c r="M50" s="19"/>
      <c r="N50" s="15"/>
      <c r="O50" s="20"/>
      <c r="P50" s="21"/>
    </row>
    <row r="51" spans="1:16" ht="14.25" customHeight="1" x14ac:dyDescent="0.2">
      <c r="A51" s="7"/>
      <c r="B51" s="8"/>
      <c r="C51" s="11"/>
      <c r="D51" s="4"/>
      <c r="E51" s="2"/>
      <c r="F51" s="2"/>
      <c r="G51" s="16">
        <v>10.1693</v>
      </c>
      <c r="H51" s="16">
        <v>9.5220000000000002</v>
      </c>
      <c r="K51" s="19"/>
      <c r="L51" s="15"/>
      <c r="M51" s="19"/>
      <c r="N51" s="15"/>
      <c r="O51" s="20"/>
      <c r="P51" s="21"/>
    </row>
    <row r="52" spans="1:16" ht="14.25" customHeight="1" x14ac:dyDescent="0.2">
      <c r="A52" s="7"/>
      <c r="B52" s="8"/>
      <c r="C52" s="11"/>
      <c r="D52" s="4"/>
      <c r="E52" s="2"/>
      <c r="F52" s="2"/>
      <c r="G52" s="16">
        <v>9.3925000000000001</v>
      </c>
      <c r="H52" s="16">
        <v>10.1866</v>
      </c>
      <c r="K52" s="19"/>
      <c r="L52" s="15"/>
      <c r="M52" s="19"/>
      <c r="N52" s="15"/>
      <c r="O52" s="20"/>
      <c r="P52" s="21"/>
    </row>
    <row r="53" spans="1:16" ht="14.25" customHeight="1" x14ac:dyDescent="0.2">
      <c r="A53" s="7"/>
      <c r="B53" s="8"/>
      <c r="C53" s="11"/>
      <c r="D53" s="4"/>
      <c r="E53" s="2"/>
      <c r="F53" s="2"/>
      <c r="G53" s="16">
        <v>10.617000000000001</v>
      </c>
      <c r="H53" s="16">
        <v>7.8463000000000003</v>
      </c>
      <c r="K53" s="19"/>
      <c r="L53" s="15"/>
      <c r="M53" s="19"/>
      <c r="N53" s="15"/>
      <c r="O53" s="20"/>
      <c r="P53" s="21"/>
    </row>
    <row r="54" spans="1:16" ht="14.25" customHeight="1" x14ac:dyDescent="0.2">
      <c r="A54" s="7"/>
      <c r="B54" s="8"/>
      <c r="C54" s="11"/>
      <c r="D54" s="4"/>
      <c r="E54" s="2"/>
      <c r="F54" s="2"/>
      <c r="G54" s="16">
        <v>10.617000000000001</v>
      </c>
      <c r="H54" s="16">
        <v>7.8463000000000003</v>
      </c>
      <c r="K54" s="19"/>
      <c r="L54" s="15"/>
      <c r="M54" s="19"/>
      <c r="N54" s="15"/>
      <c r="O54" s="20"/>
      <c r="P54" s="21"/>
    </row>
    <row r="55" spans="1:16" ht="14.25" customHeight="1" x14ac:dyDescent="0.2">
      <c r="A55" s="7"/>
      <c r="B55" s="8"/>
      <c r="C55" s="11"/>
      <c r="D55" s="4"/>
      <c r="E55" s="2" t="s">
        <v>6</v>
      </c>
      <c r="F55" s="2"/>
      <c r="G55" s="16">
        <v>8.3579000000000008</v>
      </c>
      <c r="H55" s="16">
        <v>9.3768999999999991</v>
      </c>
      <c r="K55" s="15">
        <f>MEDIAN(G55:G59)</f>
        <v>8.3694000000000006</v>
      </c>
      <c r="L55" s="19">
        <f t="shared" ref="K55:L55" si="9">MEDIAN(H55:H59)</f>
        <v>8.7888999999999999</v>
      </c>
      <c r="M55" s="19"/>
      <c r="N55" s="15"/>
      <c r="O55" s="20"/>
      <c r="P55" s="21"/>
    </row>
    <row r="56" spans="1:16" ht="14.25" customHeight="1" x14ac:dyDescent="0.2">
      <c r="A56" s="7"/>
      <c r="B56" s="8"/>
      <c r="C56" s="11"/>
      <c r="D56" s="4"/>
      <c r="E56" s="2"/>
      <c r="F56" s="2"/>
      <c r="G56" s="16">
        <v>9.9667999999999992</v>
      </c>
      <c r="H56" s="16">
        <v>10.1343</v>
      </c>
      <c r="K56" s="15"/>
      <c r="L56" s="19"/>
      <c r="M56" s="19"/>
      <c r="N56" s="15"/>
      <c r="O56" s="20"/>
      <c r="P56" s="21"/>
    </row>
    <row r="57" spans="1:16" ht="14.25" customHeight="1" x14ac:dyDescent="0.2">
      <c r="A57" s="7"/>
      <c r="B57" s="8"/>
      <c r="C57" s="11"/>
      <c r="D57" s="4"/>
      <c r="E57" s="2"/>
      <c r="F57" s="2"/>
      <c r="G57" s="16">
        <v>10.7882</v>
      </c>
      <c r="H57" s="16">
        <v>7.6783000000000001</v>
      </c>
      <c r="K57" s="15"/>
      <c r="L57" s="19"/>
      <c r="M57" s="19"/>
      <c r="N57" s="15"/>
      <c r="O57" s="20"/>
      <c r="P57" s="21"/>
    </row>
    <row r="58" spans="1:16" ht="14.25" customHeight="1" x14ac:dyDescent="0.2">
      <c r="A58" s="7"/>
      <c r="B58" s="8"/>
      <c r="C58" s="11"/>
      <c r="D58" s="4"/>
      <c r="E58" s="2"/>
      <c r="F58" s="2"/>
      <c r="G58" s="16">
        <v>8.3694000000000006</v>
      </c>
      <c r="H58" s="16">
        <v>8.7888999999999999</v>
      </c>
      <c r="K58" s="15"/>
      <c r="L58" s="19"/>
      <c r="M58" s="19"/>
      <c r="N58" s="15"/>
      <c r="O58" s="20"/>
      <c r="P58" s="21"/>
    </row>
    <row r="59" spans="1:16" ht="14.25" customHeight="1" x14ac:dyDescent="0.2">
      <c r="A59" s="9"/>
      <c r="B59" s="10"/>
      <c r="C59" s="12"/>
      <c r="D59" s="13"/>
      <c r="E59" s="2"/>
      <c r="F59" s="2"/>
      <c r="G59" s="16">
        <v>8.3694000000000006</v>
      </c>
      <c r="H59" s="16">
        <v>8.7888999999999999</v>
      </c>
      <c r="K59" s="15"/>
      <c r="L59" s="19"/>
      <c r="M59" s="19"/>
      <c r="N59" s="15"/>
      <c r="O59" s="20"/>
      <c r="P59" s="21"/>
    </row>
    <row r="60" spans="1:16" ht="14.25" customHeight="1" x14ac:dyDescent="0.2">
      <c r="A60" s="5" t="s">
        <v>11</v>
      </c>
      <c r="B60" s="6"/>
      <c r="C60" s="5" t="s">
        <v>9</v>
      </c>
      <c r="D60" s="6"/>
      <c r="E60" s="2" t="s">
        <v>2</v>
      </c>
      <c r="F60" s="2"/>
      <c r="G60" s="16">
        <v>12.573</v>
      </c>
      <c r="H60" s="16">
        <v>11.5739</v>
      </c>
      <c r="K60" s="19">
        <f t="shared" ref="K60:L60" si="10">MEDIAN(G60:G64)</f>
        <v>13.290699999999999</v>
      </c>
      <c r="L60" s="15">
        <f t="shared" si="10"/>
        <v>12.7882</v>
      </c>
      <c r="M60" s="19">
        <f>AVERAGE(K60:K109)</f>
        <v>12.99145</v>
      </c>
      <c r="N60" s="25">
        <f>AVERAGE(L60:L109)</f>
        <v>12.924789999999998</v>
      </c>
      <c r="O60" s="20"/>
      <c r="P60" s="21"/>
    </row>
    <row r="61" spans="1:16" ht="14.25" customHeight="1" x14ac:dyDescent="0.2">
      <c r="A61" s="7"/>
      <c r="B61" s="8"/>
      <c r="C61" s="7"/>
      <c r="D61" s="8"/>
      <c r="E61" s="2"/>
      <c r="F61" s="2"/>
      <c r="G61" s="16">
        <v>13.700900000000001</v>
      </c>
      <c r="H61" s="16">
        <v>11.7629</v>
      </c>
      <c r="K61" s="19"/>
      <c r="L61" s="15"/>
      <c r="M61" s="19"/>
      <c r="N61" s="25"/>
      <c r="O61" s="20"/>
      <c r="P61" s="21"/>
    </row>
    <row r="62" spans="1:16" ht="14.25" customHeight="1" x14ac:dyDescent="0.2">
      <c r="A62" s="7"/>
      <c r="B62" s="8"/>
      <c r="C62" s="7"/>
      <c r="D62" s="8"/>
      <c r="E62" s="2"/>
      <c r="F62" s="2"/>
      <c r="G62" s="16">
        <v>9.7514000000000003</v>
      </c>
      <c r="H62" s="16">
        <v>13.326000000000001</v>
      </c>
      <c r="K62" s="19"/>
      <c r="L62" s="15"/>
      <c r="M62" s="19"/>
      <c r="N62" s="25"/>
      <c r="O62" s="20"/>
      <c r="P62" s="21"/>
    </row>
    <row r="63" spans="1:16" ht="14.25" customHeight="1" x14ac:dyDescent="0.2">
      <c r="A63" s="7"/>
      <c r="B63" s="8"/>
      <c r="C63" s="7"/>
      <c r="D63" s="8"/>
      <c r="E63" s="2"/>
      <c r="F63" s="2"/>
      <c r="G63" s="16">
        <v>13.290699999999999</v>
      </c>
      <c r="H63" s="16">
        <v>12.7882</v>
      </c>
      <c r="K63" s="19"/>
      <c r="L63" s="15"/>
      <c r="M63" s="19"/>
      <c r="N63" s="25"/>
      <c r="O63" s="20"/>
      <c r="P63" s="21"/>
    </row>
    <row r="64" spans="1:16" ht="14.25" customHeight="1" x14ac:dyDescent="0.2">
      <c r="A64" s="7"/>
      <c r="B64" s="8"/>
      <c r="C64" s="7"/>
      <c r="D64" s="8"/>
      <c r="E64" s="2"/>
      <c r="F64" s="2"/>
      <c r="G64" s="16">
        <v>13.290699999999999</v>
      </c>
      <c r="H64" s="16">
        <v>12.7882</v>
      </c>
      <c r="K64" s="19"/>
      <c r="L64" s="15"/>
      <c r="M64" s="19"/>
      <c r="N64" s="25"/>
      <c r="O64" s="20"/>
      <c r="P64" s="21"/>
    </row>
    <row r="65" spans="1:16" ht="14.25" customHeight="1" x14ac:dyDescent="0.2">
      <c r="A65" s="7"/>
      <c r="B65" s="8"/>
      <c r="C65" s="7"/>
      <c r="D65" s="8"/>
      <c r="E65" s="2" t="s">
        <v>3</v>
      </c>
      <c r="F65" s="2"/>
      <c r="G65" s="16">
        <v>11.3705</v>
      </c>
      <c r="H65" s="16">
        <v>12.995100000000001</v>
      </c>
      <c r="K65" s="15">
        <f t="shared" ref="K65:L65" si="11">MEDIAN(G65:G69)</f>
        <v>12.537800000000001</v>
      </c>
      <c r="L65" s="19">
        <f t="shared" si="11"/>
        <v>12.651999999999999</v>
      </c>
      <c r="M65" s="19"/>
      <c r="N65" s="25"/>
      <c r="O65" s="20"/>
      <c r="P65" s="21"/>
    </row>
    <row r="66" spans="1:16" ht="14.25" customHeight="1" x14ac:dyDescent="0.2">
      <c r="A66" s="7"/>
      <c r="B66" s="8"/>
      <c r="C66" s="7"/>
      <c r="D66" s="8"/>
      <c r="E66" s="2"/>
      <c r="F66" s="2"/>
      <c r="G66" s="16">
        <v>12.817</v>
      </c>
      <c r="H66" s="16">
        <v>12.651999999999999</v>
      </c>
      <c r="K66" s="15"/>
      <c r="L66" s="19"/>
      <c r="M66" s="19"/>
      <c r="N66" s="25"/>
      <c r="O66" s="20"/>
      <c r="P66" s="21"/>
    </row>
    <row r="67" spans="1:16" ht="14.25" customHeight="1" x14ac:dyDescent="0.2">
      <c r="A67" s="7"/>
      <c r="B67" s="8"/>
      <c r="C67" s="7"/>
      <c r="D67" s="8"/>
      <c r="E67" s="2"/>
      <c r="F67" s="2"/>
      <c r="G67" s="16">
        <v>13.116099999999999</v>
      </c>
      <c r="H67" s="16">
        <v>12.6556</v>
      </c>
      <c r="K67" s="15"/>
      <c r="L67" s="19"/>
      <c r="M67" s="19"/>
      <c r="N67" s="25"/>
      <c r="O67" s="20"/>
      <c r="P67" s="21"/>
    </row>
    <row r="68" spans="1:16" ht="14.25" customHeight="1" x14ac:dyDescent="0.2">
      <c r="A68" s="7"/>
      <c r="B68" s="8"/>
      <c r="C68" s="7"/>
      <c r="D68" s="8"/>
      <c r="E68" s="2"/>
      <c r="F68" s="2"/>
      <c r="G68" s="16">
        <v>12.537800000000001</v>
      </c>
      <c r="H68" s="16">
        <v>12.125</v>
      </c>
      <c r="K68" s="15"/>
      <c r="L68" s="19"/>
      <c r="M68" s="19"/>
      <c r="N68" s="25"/>
      <c r="O68" s="20"/>
      <c r="P68" s="21"/>
    </row>
    <row r="69" spans="1:16" ht="14.25" customHeight="1" x14ac:dyDescent="0.2">
      <c r="A69" s="7"/>
      <c r="B69" s="8"/>
      <c r="C69" s="7"/>
      <c r="D69" s="8"/>
      <c r="E69" s="2"/>
      <c r="F69" s="2"/>
      <c r="G69" s="16">
        <v>12.537800000000001</v>
      </c>
      <c r="H69" s="16">
        <v>12.125</v>
      </c>
      <c r="K69" s="15"/>
      <c r="L69" s="19"/>
      <c r="M69" s="19"/>
      <c r="N69" s="25"/>
      <c r="O69" s="20"/>
      <c r="P69" s="21"/>
    </row>
    <row r="70" spans="1:16" ht="14.25" customHeight="1" x14ac:dyDescent="0.2">
      <c r="A70" s="7"/>
      <c r="B70" s="8"/>
      <c r="C70" s="7"/>
      <c r="D70" s="8"/>
      <c r="E70" s="2" t="s">
        <v>4</v>
      </c>
      <c r="F70" s="2"/>
      <c r="G70" s="16">
        <v>10.811299999999999</v>
      </c>
      <c r="H70" s="16">
        <v>12.687799999999999</v>
      </c>
      <c r="K70" s="25">
        <f t="shared" ref="K70:L70" si="12">MEDIAN(G70:G74)</f>
        <v>12.4224</v>
      </c>
      <c r="L70" s="19">
        <f t="shared" si="12"/>
        <v>13.1534</v>
      </c>
      <c r="M70" s="19"/>
      <c r="N70" s="25"/>
      <c r="O70" s="20"/>
      <c r="P70" s="21"/>
    </row>
    <row r="71" spans="1:16" ht="14.25" customHeight="1" x14ac:dyDescent="0.2">
      <c r="A71" s="7"/>
      <c r="B71" s="8"/>
      <c r="C71" s="7"/>
      <c r="D71" s="8"/>
      <c r="E71" s="2"/>
      <c r="F71" s="2"/>
      <c r="G71" s="16">
        <v>13.123699999999999</v>
      </c>
      <c r="H71" s="16">
        <v>13.1534</v>
      </c>
      <c r="K71" s="25"/>
      <c r="L71" s="19"/>
      <c r="M71" s="19"/>
      <c r="N71" s="25"/>
      <c r="O71" s="20"/>
      <c r="P71" s="21"/>
    </row>
    <row r="72" spans="1:16" ht="14.25" customHeight="1" x14ac:dyDescent="0.2">
      <c r="A72" s="7"/>
      <c r="B72" s="8"/>
      <c r="C72" s="7"/>
      <c r="D72" s="8"/>
      <c r="E72" s="2"/>
      <c r="F72" s="2"/>
      <c r="G72" s="16">
        <v>12.582800000000001</v>
      </c>
      <c r="H72" s="16">
        <v>12.424899999999999</v>
      </c>
      <c r="K72" s="25"/>
      <c r="L72" s="19"/>
      <c r="M72" s="19"/>
      <c r="N72" s="25"/>
      <c r="O72" s="20"/>
      <c r="P72" s="21"/>
    </row>
    <row r="73" spans="1:16" ht="14.25" customHeight="1" x14ac:dyDescent="0.2">
      <c r="A73" s="7"/>
      <c r="B73" s="8"/>
      <c r="C73" s="7"/>
      <c r="D73" s="8"/>
      <c r="E73" s="2"/>
      <c r="F73" s="2"/>
      <c r="G73" s="16">
        <v>12.4224</v>
      </c>
      <c r="H73" s="16">
        <v>13.345700000000001</v>
      </c>
      <c r="K73" s="25"/>
      <c r="L73" s="19"/>
      <c r="M73" s="19"/>
      <c r="N73" s="25"/>
      <c r="O73" s="20"/>
      <c r="P73" s="21"/>
    </row>
    <row r="74" spans="1:16" ht="14.25" customHeight="1" x14ac:dyDescent="0.2">
      <c r="A74" s="7"/>
      <c r="B74" s="8"/>
      <c r="C74" s="7"/>
      <c r="D74" s="8"/>
      <c r="E74" s="2"/>
      <c r="F74" s="2"/>
      <c r="G74" s="16">
        <v>12.4224</v>
      </c>
      <c r="H74" s="16">
        <v>13.345700000000001</v>
      </c>
      <c r="K74" s="25"/>
      <c r="L74" s="19"/>
      <c r="M74" s="19"/>
      <c r="N74" s="25"/>
      <c r="O74" s="20"/>
      <c r="P74" s="21"/>
    </row>
    <row r="75" spans="1:16" ht="14.25" customHeight="1" x14ac:dyDescent="0.2">
      <c r="A75" s="7"/>
      <c r="B75" s="8"/>
      <c r="C75" s="7"/>
      <c r="D75" s="8"/>
      <c r="E75" s="2" t="s">
        <v>5</v>
      </c>
      <c r="F75" s="2"/>
      <c r="G75" s="16">
        <v>13.6256</v>
      </c>
      <c r="H75" s="16">
        <v>14.0992</v>
      </c>
      <c r="K75" s="15">
        <f t="shared" ref="K75:L75" si="13">MEDIAN(G75:G79)</f>
        <v>13.0206</v>
      </c>
      <c r="L75" s="19">
        <f t="shared" si="13"/>
        <v>13.359400000000001</v>
      </c>
      <c r="M75" s="19"/>
      <c r="N75" s="25"/>
      <c r="O75" s="20"/>
      <c r="P75" s="21"/>
    </row>
    <row r="76" spans="1:16" ht="14.25" customHeight="1" x14ac:dyDescent="0.2">
      <c r="A76" s="7"/>
      <c r="B76" s="8"/>
      <c r="C76" s="7"/>
      <c r="D76" s="8"/>
      <c r="E76" s="2"/>
      <c r="F76" s="2"/>
      <c r="G76" s="16">
        <v>12.742000000000001</v>
      </c>
      <c r="H76" s="16">
        <v>13.359400000000001</v>
      </c>
      <c r="K76" s="15"/>
      <c r="L76" s="19"/>
      <c r="M76" s="19"/>
      <c r="N76" s="25"/>
      <c r="O76" s="20"/>
      <c r="P76" s="21"/>
    </row>
    <row r="77" spans="1:16" ht="14.25" customHeight="1" x14ac:dyDescent="0.2">
      <c r="A77" s="7"/>
      <c r="B77" s="8"/>
      <c r="C77" s="7"/>
      <c r="D77" s="8"/>
      <c r="E77" s="2"/>
      <c r="F77" s="2"/>
      <c r="G77" s="16">
        <v>13.1195</v>
      </c>
      <c r="H77" s="16">
        <v>13.728400000000001</v>
      </c>
      <c r="K77" s="15"/>
      <c r="L77" s="19"/>
      <c r="M77" s="19"/>
      <c r="N77" s="25"/>
      <c r="O77" s="20"/>
      <c r="P77" s="21"/>
    </row>
    <row r="78" spans="1:16" ht="14.25" customHeight="1" x14ac:dyDescent="0.2">
      <c r="A78" s="7"/>
      <c r="B78" s="8"/>
      <c r="C78" s="7"/>
      <c r="D78" s="8"/>
      <c r="E78" s="2"/>
      <c r="F78" s="2"/>
      <c r="G78" s="16">
        <v>13.0206</v>
      </c>
      <c r="H78" s="16">
        <v>12.7004</v>
      </c>
      <c r="K78" s="15"/>
      <c r="L78" s="19"/>
      <c r="M78" s="19"/>
      <c r="N78" s="25"/>
      <c r="O78" s="20"/>
      <c r="P78" s="21"/>
    </row>
    <row r="79" spans="1:16" ht="14.25" customHeight="1" x14ac:dyDescent="0.2">
      <c r="A79" s="7"/>
      <c r="B79" s="8"/>
      <c r="C79" s="7"/>
      <c r="D79" s="8"/>
      <c r="E79" s="2"/>
      <c r="F79" s="2"/>
      <c r="G79" s="16">
        <v>13.0206</v>
      </c>
      <c r="H79" s="16">
        <v>12.7004</v>
      </c>
      <c r="K79" s="15"/>
      <c r="L79" s="19"/>
      <c r="M79" s="19"/>
      <c r="N79" s="25"/>
      <c r="O79" s="20"/>
      <c r="P79" s="21"/>
    </row>
    <row r="80" spans="1:16" ht="14.25" customHeight="1" x14ac:dyDescent="0.2">
      <c r="A80" s="7"/>
      <c r="B80" s="8"/>
      <c r="C80" s="7"/>
      <c r="D80" s="8"/>
      <c r="E80" s="2" t="s">
        <v>6</v>
      </c>
      <c r="F80" s="2"/>
      <c r="G80" s="16">
        <v>12.2883</v>
      </c>
      <c r="H80" s="16">
        <v>13.4427</v>
      </c>
      <c r="K80" s="25">
        <f t="shared" ref="K80:L80" si="14">MEDIAN(G80:G84)</f>
        <v>12.993499999999999</v>
      </c>
      <c r="L80" s="19">
        <f t="shared" si="14"/>
        <v>13.4427</v>
      </c>
      <c r="M80" s="19"/>
      <c r="N80" s="25"/>
      <c r="O80" s="20"/>
      <c r="P80" s="21"/>
    </row>
    <row r="81" spans="1:16" ht="14.25" customHeight="1" x14ac:dyDescent="0.2">
      <c r="A81" s="7"/>
      <c r="B81" s="8"/>
      <c r="C81" s="7"/>
      <c r="D81" s="8"/>
      <c r="E81" s="2"/>
      <c r="F81" s="2"/>
      <c r="G81" s="16">
        <v>13.0595</v>
      </c>
      <c r="H81" s="16">
        <v>13.603300000000001</v>
      </c>
      <c r="K81" s="25"/>
      <c r="L81" s="19"/>
      <c r="M81" s="19"/>
      <c r="N81" s="25"/>
      <c r="O81" s="20"/>
      <c r="P81" s="21"/>
    </row>
    <row r="82" spans="1:16" ht="14.25" customHeight="1" x14ac:dyDescent="0.2">
      <c r="A82" s="7"/>
      <c r="B82" s="8"/>
      <c r="C82" s="7"/>
      <c r="D82" s="8"/>
      <c r="E82" s="2"/>
      <c r="F82" s="2"/>
      <c r="G82" s="16">
        <v>12.3535</v>
      </c>
      <c r="H82" s="16">
        <v>13.4598</v>
      </c>
      <c r="K82" s="25"/>
      <c r="L82" s="19"/>
      <c r="M82" s="19"/>
      <c r="N82" s="25"/>
      <c r="O82" s="20"/>
      <c r="P82" s="21"/>
    </row>
    <row r="83" spans="1:16" ht="14.25" customHeight="1" x14ac:dyDescent="0.2">
      <c r="A83" s="7"/>
      <c r="B83" s="8"/>
      <c r="C83" s="7"/>
      <c r="D83" s="8"/>
      <c r="E83" s="2"/>
      <c r="F83" s="2"/>
      <c r="G83" s="16">
        <v>12.993499999999999</v>
      </c>
      <c r="H83" s="16">
        <v>12.130599999999999</v>
      </c>
      <c r="K83" s="25"/>
      <c r="L83" s="19"/>
      <c r="M83" s="19"/>
      <c r="N83" s="25"/>
      <c r="O83" s="20"/>
      <c r="P83" s="21"/>
    </row>
    <row r="84" spans="1:16" ht="14.25" customHeight="1" x14ac:dyDescent="0.2">
      <c r="A84" s="7"/>
      <c r="B84" s="8"/>
      <c r="C84" s="9"/>
      <c r="D84" s="10"/>
      <c r="E84" s="2"/>
      <c r="F84" s="2"/>
      <c r="G84" s="16">
        <v>12.993499999999999</v>
      </c>
      <c r="H84" s="16">
        <v>12.130599999999999</v>
      </c>
      <c r="K84" s="25"/>
      <c r="L84" s="19"/>
      <c r="M84" s="19"/>
      <c r="N84" s="25"/>
      <c r="O84" s="20"/>
      <c r="P84" s="21"/>
    </row>
    <row r="85" spans="1:16" ht="14.25" customHeight="1" x14ac:dyDescent="0.2">
      <c r="A85" s="7"/>
      <c r="B85" s="8"/>
      <c r="C85" s="5" t="s">
        <v>10</v>
      </c>
      <c r="D85" s="3"/>
      <c r="E85" s="2" t="s">
        <v>2</v>
      </c>
      <c r="F85" s="2"/>
      <c r="G85" s="16">
        <v>14.0379</v>
      </c>
      <c r="H85" s="16">
        <v>13.905099999999999</v>
      </c>
      <c r="K85" s="19">
        <f t="shared" ref="K85:L85" si="15">MEDIAN(G85:G89)</f>
        <v>14.0878</v>
      </c>
      <c r="L85" s="15">
        <f t="shared" si="15"/>
        <v>13.905099999999999</v>
      </c>
      <c r="M85" s="19"/>
      <c r="N85" s="25"/>
      <c r="O85" s="20"/>
      <c r="P85" s="21"/>
    </row>
    <row r="86" spans="1:16" ht="14.25" customHeight="1" x14ac:dyDescent="0.2">
      <c r="A86" s="7"/>
      <c r="B86" s="8"/>
      <c r="C86" s="11"/>
      <c r="D86" s="4"/>
      <c r="E86" s="2"/>
      <c r="F86" s="2"/>
      <c r="G86" s="16">
        <v>11.7982</v>
      </c>
      <c r="H86" s="16">
        <v>14.013999999999999</v>
      </c>
      <c r="K86" s="19"/>
      <c r="L86" s="15"/>
      <c r="M86" s="19"/>
      <c r="N86" s="25"/>
      <c r="O86" s="20"/>
      <c r="P86" s="21"/>
    </row>
    <row r="87" spans="1:16" ht="14.25" customHeight="1" x14ac:dyDescent="0.2">
      <c r="A87" s="7"/>
      <c r="B87" s="8"/>
      <c r="C87" s="11"/>
      <c r="D87" s="4"/>
      <c r="E87" s="2"/>
      <c r="F87" s="2"/>
      <c r="G87" s="16">
        <v>14.117699999999999</v>
      </c>
      <c r="H87" s="16">
        <v>14.322800000000001</v>
      </c>
      <c r="K87" s="19"/>
      <c r="L87" s="15"/>
      <c r="M87" s="19"/>
      <c r="N87" s="25"/>
      <c r="O87" s="20"/>
      <c r="P87" s="21"/>
    </row>
    <row r="88" spans="1:16" ht="14.25" customHeight="1" x14ac:dyDescent="0.2">
      <c r="A88" s="7"/>
      <c r="B88" s="8"/>
      <c r="C88" s="11"/>
      <c r="D88" s="4"/>
      <c r="E88" s="2"/>
      <c r="F88" s="2"/>
      <c r="G88" s="16">
        <v>14.0878</v>
      </c>
      <c r="H88" s="16">
        <v>13.664199999999999</v>
      </c>
      <c r="K88" s="19"/>
      <c r="L88" s="15"/>
      <c r="M88" s="19"/>
      <c r="N88" s="25"/>
      <c r="O88" s="20"/>
      <c r="P88" s="21"/>
    </row>
    <row r="89" spans="1:16" ht="14.25" customHeight="1" x14ac:dyDescent="0.2">
      <c r="A89" s="7"/>
      <c r="B89" s="8"/>
      <c r="C89" s="11"/>
      <c r="D89" s="4"/>
      <c r="E89" s="2"/>
      <c r="F89" s="2"/>
      <c r="G89" s="16">
        <v>14.0878</v>
      </c>
      <c r="H89" s="16">
        <v>13.664199999999999</v>
      </c>
      <c r="K89" s="19"/>
      <c r="L89" s="15"/>
      <c r="M89" s="19"/>
      <c r="N89" s="25"/>
      <c r="O89" s="20"/>
      <c r="P89" s="21"/>
    </row>
    <row r="90" spans="1:16" ht="14.25" customHeight="1" x14ac:dyDescent="0.2">
      <c r="A90" s="7"/>
      <c r="B90" s="8"/>
      <c r="C90" s="11"/>
      <c r="D90" s="4"/>
      <c r="E90" s="2" t="s">
        <v>3</v>
      </c>
      <c r="F90" s="2"/>
      <c r="G90" s="16">
        <v>13.335699999999999</v>
      </c>
      <c r="H90" s="16">
        <v>13.4252</v>
      </c>
      <c r="K90" s="19">
        <f t="shared" ref="K90:L90" si="16">MEDIAN(G90:G94)</f>
        <v>12.376799999999999</v>
      </c>
      <c r="L90" s="15">
        <f t="shared" si="16"/>
        <v>10.749000000000001</v>
      </c>
      <c r="M90" s="19"/>
      <c r="N90" s="25"/>
      <c r="O90" s="20"/>
      <c r="P90" s="21"/>
    </row>
    <row r="91" spans="1:16" ht="14.25" customHeight="1" x14ac:dyDescent="0.2">
      <c r="A91" s="7"/>
      <c r="B91" s="8"/>
      <c r="C91" s="11"/>
      <c r="D91" s="4"/>
      <c r="E91" s="2"/>
      <c r="F91" s="2"/>
      <c r="G91" s="16">
        <v>11.3713</v>
      </c>
      <c r="H91" s="16">
        <v>8.9672999999999998</v>
      </c>
      <c r="K91" s="19"/>
      <c r="L91" s="15"/>
      <c r="M91" s="19"/>
      <c r="N91" s="25"/>
      <c r="O91" s="20"/>
      <c r="P91" s="21"/>
    </row>
    <row r="92" spans="1:16" ht="14.25" customHeight="1" x14ac:dyDescent="0.2">
      <c r="A92" s="7"/>
      <c r="B92" s="8"/>
      <c r="C92" s="11"/>
      <c r="D92" s="4"/>
      <c r="E92" s="2"/>
      <c r="F92" s="2"/>
      <c r="G92" s="16">
        <v>12.8209</v>
      </c>
      <c r="H92" s="16">
        <v>12.610200000000001</v>
      </c>
      <c r="K92" s="19"/>
      <c r="L92" s="15"/>
      <c r="M92" s="19"/>
      <c r="N92" s="25"/>
      <c r="O92" s="20"/>
      <c r="P92" s="21"/>
    </row>
    <row r="93" spans="1:16" ht="14.25" customHeight="1" x14ac:dyDescent="0.2">
      <c r="A93" s="7"/>
      <c r="B93" s="8"/>
      <c r="C93" s="11"/>
      <c r="D93" s="4"/>
      <c r="E93" s="2"/>
      <c r="F93" s="2"/>
      <c r="G93" s="16">
        <v>12.376799999999999</v>
      </c>
      <c r="H93" s="16">
        <v>10.749000000000001</v>
      </c>
      <c r="K93" s="19"/>
      <c r="L93" s="15"/>
      <c r="M93" s="19"/>
      <c r="N93" s="25"/>
      <c r="O93" s="20"/>
      <c r="P93" s="21"/>
    </row>
    <row r="94" spans="1:16" ht="14.25" customHeight="1" x14ac:dyDescent="0.2">
      <c r="A94" s="7"/>
      <c r="B94" s="8"/>
      <c r="C94" s="11"/>
      <c r="D94" s="4"/>
      <c r="E94" s="2"/>
      <c r="F94" s="2"/>
      <c r="G94" s="16">
        <v>12.376799999999999</v>
      </c>
      <c r="H94" s="16">
        <v>10.749000000000001</v>
      </c>
      <c r="K94" s="19"/>
      <c r="L94" s="15"/>
      <c r="M94" s="19"/>
      <c r="N94" s="25"/>
      <c r="O94" s="20"/>
      <c r="P94" s="21"/>
    </row>
    <row r="95" spans="1:16" ht="14.25" customHeight="1" x14ac:dyDescent="0.2">
      <c r="A95" s="7"/>
      <c r="B95" s="8"/>
      <c r="C95" s="11"/>
      <c r="D95" s="4"/>
      <c r="E95" s="2" t="s">
        <v>4</v>
      </c>
      <c r="F95" s="2"/>
      <c r="G95" s="16">
        <v>12.7348</v>
      </c>
      <c r="H95" s="16">
        <v>10.4292</v>
      </c>
      <c r="K95" s="19">
        <f t="shared" ref="K95:L95" si="17">MEDIAN(G95:G99)</f>
        <v>12.315799999999999</v>
      </c>
      <c r="L95" s="15">
        <f t="shared" si="17"/>
        <v>11.5936</v>
      </c>
      <c r="M95" s="19"/>
      <c r="N95" s="25"/>
      <c r="O95" s="20"/>
      <c r="P95" s="21"/>
    </row>
    <row r="96" spans="1:16" ht="14.25" customHeight="1" x14ac:dyDescent="0.2">
      <c r="A96" s="7"/>
      <c r="B96" s="8"/>
      <c r="C96" s="11"/>
      <c r="D96" s="4"/>
      <c r="E96" s="2"/>
      <c r="F96" s="2"/>
      <c r="G96" s="16">
        <v>11.614800000000001</v>
      </c>
      <c r="H96" s="16">
        <v>10.778600000000001</v>
      </c>
      <c r="K96" s="19"/>
      <c r="L96" s="15"/>
      <c r="M96" s="19"/>
      <c r="N96" s="25"/>
      <c r="O96" s="20"/>
      <c r="P96" s="21"/>
    </row>
    <row r="97" spans="1:16" ht="14.25" customHeight="1" x14ac:dyDescent="0.2">
      <c r="A97" s="7"/>
      <c r="B97" s="8"/>
      <c r="C97" s="11"/>
      <c r="D97" s="4"/>
      <c r="E97" s="2"/>
      <c r="F97" s="2"/>
      <c r="G97" s="16">
        <v>11.500400000000001</v>
      </c>
      <c r="H97" s="16">
        <v>11.5936</v>
      </c>
      <c r="K97" s="19"/>
      <c r="L97" s="15"/>
      <c r="M97" s="19"/>
      <c r="N97" s="25"/>
      <c r="O97" s="20"/>
      <c r="P97" s="21"/>
    </row>
    <row r="98" spans="1:16" ht="14.25" customHeight="1" x14ac:dyDescent="0.2">
      <c r="A98" s="7"/>
      <c r="B98" s="8"/>
      <c r="C98" s="11"/>
      <c r="D98" s="4"/>
      <c r="E98" s="2"/>
      <c r="F98" s="2"/>
      <c r="G98" s="16">
        <v>12.315799999999999</v>
      </c>
      <c r="H98" s="16">
        <v>12.6815</v>
      </c>
      <c r="K98" s="19"/>
      <c r="L98" s="15"/>
      <c r="M98" s="19"/>
      <c r="N98" s="25"/>
      <c r="O98" s="20"/>
      <c r="P98" s="21"/>
    </row>
    <row r="99" spans="1:16" ht="14.25" customHeight="1" x14ac:dyDescent="0.2">
      <c r="A99" s="7"/>
      <c r="B99" s="8"/>
      <c r="C99" s="11"/>
      <c r="D99" s="4"/>
      <c r="E99" s="2"/>
      <c r="F99" s="2"/>
      <c r="G99" s="16">
        <v>12.315799999999999</v>
      </c>
      <c r="H99" s="16">
        <v>12.6815</v>
      </c>
      <c r="K99" s="19"/>
      <c r="L99" s="15"/>
      <c r="M99" s="19"/>
      <c r="N99" s="25"/>
      <c r="O99" s="20"/>
      <c r="P99" s="21"/>
    </row>
    <row r="100" spans="1:16" ht="14.25" customHeight="1" x14ac:dyDescent="0.2">
      <c r="A100" s="7"/>
      <c r="B100" s="8"/>
      <c r="C100" s="11"/>
      <c r="D100" s="4"/>
      <c r="E100" s="2" t="s">
        <v>5</v>
      </c>
      <c r="F100" s="2"/>
      <c r="G100" s="16">
        <v>13.884600000000001</v>
      </c>
      <c r="H100" s="16">
        <v>13.6074</v>
      </c>
      <c r="K100" s="19">
        <f t="shared" ref="K100:L100" si="18">MEDIAN(G100:G104)</f>
        <v>12.9673</v>
      </c>
      <c r="L100" s="15">
        <f t="shared" si="18"/>
        <v>13.6074</v>
      </c>
      <c r="M100" s="19"/>
      <c r="N100" s="25"/>
      <c r="O100" s="20"/>
      <c r="P100" s="21"/>
    </row>
    <row r="101" spans="1:16" ht="14.25" customHeight="1" x14ac:dyDescent="0.2">
      <c r="A101" s="7"/>
      <c r="B101" s="8"/>
      <c r="C101" s="11"/>
      <c r="D101" s="4"/>
      <c r="E101" s="2"/>
      <c r="F101" s="2"/>
      <c r="G101" s="16">
        <v>13.7515</v>
      </c>
      <c r="H101" s="16">
        <v>12.8765</v>
      </c>
      <c r="K101" s="19"/>
      <c r="L101" s="15"/>
      <c r="M101" s="19"/>
      <c r="N101" s="25"/>
      <c r="O101" s="20"/>
      <c r="P101" s="21"/>
    </row>
    <row r="102" spans="1:16" ht="14.25" customHeight="1" x14ac:dyDescent="0.2">
      <c r="A102" s="7"/>
      <c r="B102" s="8"/>
      <c r="C102" s="11"/>
      <c r="D102" s="4"/>
      <c r="E102" s="2"/>
      <c r="F102" s="2"/>
      <c r="G102" s="16">
        <v>12.9673</v>
      </c>
      <c r="H102" s="16">
        <v>12.890700000000001</v>
      </c>
      <c r="K102" s="19"/>
      <c r="L102" s="15"/>
      <c r="M102" s="19"/>
      <c r="N102" s="25"/>
      <c r="O102" s="20"/>
      <c r="P102" s="21"/>
    </row>
    <row r="103" spans="1:16" ht="14.25" customHeight="1" x14ac:dyDescent="0.2">
      <c r="A103" s="7"/>
      <c r="B103" s="8"/>
      <c r="C103" s="11"/>
      <c r="D103" s="4"/>
      <c r="E103" s="2"/>
      <c r="F103" s="2"/>
      <c r="G103" s="16">
        <v>11.814500000000001</v>
      </c>
      <c r="H103" s="16">
        <v>13.8226</v>
      </c>
      <c r="K103" s="19"/>
      <c r="L103" s="15"/>
      <c r="M103" s="19"/>
      <c r="N103" s="25"/>
      <c r="O103" s="20"/>
      <c r="P103" s="21"/>
    </row>
    <row r="104" spans="1:16" ht="14.25" customHeight="1" x14ac:dyDescent="0.2">
      <c r="A104" s="7"/>
      <c r="B104" s="8"/>
      <c r="C104" s="11"/>
      <c r="D104" s="4"/>
      <c r="E104" s="2"/>
      <c r="F104" s="2"/>
      <c r="G104" s="16">
        <v>11.814500000000001</v>
      </c>
      <c r="H104" s="16">
        <v>13.8226</v>
      </c>
      <c r="K104" s="19"/>
      <c r="L104" s="15"/>
      <c r="M104" s="19"/>
      <c r="N104" s="25"/>
      <c r="O104" s="20"/>
      <c r="P104" s="21"/>
    </row>
    <row r="105" spans="1:16" ht="14.25" customHeight="1" x14ac:dyDescent="0.2">
      <c r="A105" s="7"/>
      <c r="B105" s="8"/>
      <c r="C105" s="11"/>
      <c r="D105" s="4"/>
      <c r="E105" s="2" t="s">
        <v>6</v>
      </c>
      <c r="F105" s="2"/>
      <c r="G105" s="16">
        <v>12.141999999999999</v>
      </c>
      <c r="H105" s="16">
        <v>14.0047</v>
      </c>
      <c r="K105" s="25">
        <f t="shared" ref="K105:L105" si="19">MEDIAN(G105:G109)</f>
        <v>13.9018</v>
      </c>
      <c r="L105" s="19">
        <f t="shared" si="19"/>
        <v>13.9971</v>
      </c>
      <c r="M105" s="19"/>
      <c r="N105" s="25"/>
      <c r="O105" s="20"/>
      <c r="P105" s="21"/>
    </row>
    <row r="106" spans="1:16" ht="14.25" customHeight="1" x14ac:dyDescent="0.2">
      <c r="A106" s="7"/>
      <c r="B106" s="8"/>
      <c r="C106" s="11"/>
      <c r="D106" s="4"/>
      <c r="E106" s="2"/>
      <c r="F106" s="2"/>
      <c r="G106" s="16">
        <v>12.7613</v>
      </c>
      <c r="H106" s="16">
        <v>13.245100000000001</v>
      </c>
      <c r="K106" s="25"/>
      <c r="L106" s="19"/>
      <c r="M106" s="19"/>
      <c r="N106" s="25"/>
      <c r="O106" s="20"/>
      <c r="P106" s="21"/>
    </row>
    <row r="107" spans="1:16" ht="14.25" customHeight="1" x14ac:dyDescent="0.2">
      <c r="A107" s="7"/>
      <c r="B107" s="8"/>
      <c r="C107" s="11"/>
      <c r="D107" s="4"/>
      <c r="E107" s="2"/>
      <c r="F107" s="2"/>
      <c r="G107" s="16">
        <v>13.9018</v>
      </c>
      <c r="H107" s="16">
        <v>14.016999999999999</v>
      </c>
      <c r="K107" s="25"/>
      <c r="L107" s="19"/>
      <c r="M107" s="19"/>
      <c r="N107" s="25"/>
      <c r="O107" s="20"/>
      <c r="P107" s="21"/>
    </row>
    <row r="108" spans="1:16" ht="14.25" customHeight="1" x14ac:dyDescent="0.2">
      <c r="A108" s="7"/>
      <c r="B108" s="8"/>
      <c r="C108" s="11"/>
      <c r="D108" s="4"/>
      <c r="E108" s="2"/>
      <c r="F108" s="2"/>
      <c r="G108" s="16">
        <v>14.0265</v>
      </c>
      <c r="H108" s="16">
        <v>13.9971</v>
      </c>
      <c r="K108" s="25"/>
      <c r="L108" s="19"/>
      <c r="M108" s="19"/>
      <c r="N108" s="25"/>
      <c r="O108" s="20"/>
      <c r="P108" s="21"/>
    </row>
    <row r="109" spans="1:16" ht="14.25" customHeight="1" x14ac:dyDescent="0.2">
      <c r="A109" s="9"/>
      <c r="B109" s="10"/>
      <c r="C109" s="12"/>
      <c r="D109" s="13"/>
      <c r="E109" s="2"/>
      <c r="F109" s="2"/>
      <c r="G109" s="16">
        <v>14.0265</v>
      </c>
      <c r="H109" s="16">
        <v>13.9971</v>
      </c>
      <c r="K109" s="25"/>
      <c r="L109" s="19"/>
      <c r="M109" s="19"/>
      <c r="N109" s="25"/>
      <c r="O109" s="20"/>
      <c r="P109" s="21"/>
    </row>
    <row r="110" spans="1:16" ht="14.25" customHeight="1" x14ac:dyDescent="0.2"/>
    <row r="111" spans="1:16" ht="14.25" customHeight="1" x14ac:dyDescent="0.2"/>
    <row r="112" spans="1:16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</sheetData>
  <mergeCells count="92">
    <mergeCell ref="E105:F109"/>
    <mergeCell ref="K105:K109"/>
    <mergeCell ref="L105:L109"/>
    <mergeCell ref="E95:F99"/>
    <mergeCell ref="K95:K99"/>
    <mergeCell ref="L95:L99"/>
    <mergeCell ref="E100:F104"/>
    <mergeCell ref="K100:K104"/>
    <mergeCell ref="L100:L104"/>
    <mergeCell ref="E85:F89"/>
    <mergeCell ref="K85:K89"/>
    <mergeCell ref="L85:L89"/>
    <mergeCell ref="E90:F94"/>
    <mergeCell ref="K90:K94"/>
    <mergeCell ref="L90:L94"/>
    <mergeCell ref="N60:N109"/>
    <mergeCell ref="E65:F69"/>
    <mergeCell ref="K65:K69"/>
    <mergeCell ref="L65:L69"/>
    <mergeCell ref="E70:F74"/>
    <mergeCell ref="K70:K74"/>
    <mergeCell ref="L70:L74"/>
    <mergeCell ref="E75:F79"/>
    <mergeCell ref="K75:K79"/>
    <mergeCell ref="L75:L79"/>
    <mergeCell ref="A60:B109"/>
    <mergeCell ref="C60:D84"/>
    <mergeCell ref="E60:F64"/>
    <mergeCell ref="K60:K64"/>
    <mergeCell ref="L60:L64"/>
    <mergeCell ref="M60:M109"/>
    <mergeCell ref="E80:F84"/>
    <mergeCell ref="K80:K84"/>
    <mergeCell ref="L80:L84"/>
    <mergeCell ref="C85:D109"/>
    <mergeCell ref="E50:F54"/>
    <mergeCell ref="K50:K54"/>
    <mergeCell ref="L50:L54"/>
    <mergeCell ref="E55:F59"/>
    <mergeCell ref="K55:K59"/>
    <mergeCell ref="L55:L59"/>
    <mergeCell ref="C35:D59"/>
    <mergeCell ref="E35:F39"/>
    <mergeCell ref="K35:K39"/>
    <mergeCell ref="L35:L39"/>
    <mergeCell ref="E40:F44"/>
    <mergeCell ref="K40:K44"/>
    <mergeCell ref="L40:L44"/>
    <mergeCell ref="E45:F49"/>
    <mergeCell ref="K45:K49"/>
    <mergeCell ref="L45:L49"/>
    <mergeCell ref="E25:F29"/>
    <mergeCell ref="K25:K29"/>
    <mergeCell ref="L25:L29"/>
    <mergeCell ref="E30:F34"/>
    <mergeCell ref="K30:K34"/>
    <mergeCell ref="L30:L34"/>
    <mergeCell ref="E15:F19"/>
    <mergeCell ref="K15:K19"/>
    <mergeCell ref="L15:L19"/>
    <mergeCell ref="E20:F24"/>
    <mergeCell ref="K20:K24"/>
    <mergeCell ref="L20:L24"/>
    <mergeCell ref="N5:N9"/>
    <mergeCell ref="O5:O109"/>
    <mergeCell ref="P5:P109"/>
    <mergeCell ref="A10:B59"/>
    <mergeCell ref="C10:D34"/>
    <mergeCell ref="E10:F14"/>
    <mergeCell ref="K10:K14"/>
    <mergeCell ref="L10:L14"/>
    <mergeCell ref="M10:M59"/>
    <mergeCell ref="N10:N59"/>
    <mergeCell ref="A5:B9"/>
    <mergeCell ref="C5:D9"/>
    <mergeCell ref="E5:F9"/>
    <mergeCell ref="K5:K9"/>
    <mergeCell ref="L5:L9"/>
    <mergeCell ref="M5:M9"/>
    <mergeCell ref="O1:P2"/>
    <mergeCell ref="K3:K4"/>
    <mergeCell ref="L3:L4"/>
    <mergeCell ref="M3:M4"/>
    <mergeCell ref="N3:N4"/>
    <mergeCell ref="O3:O4"/>
    <mergeCell ref="P3:P4"/>
    <mergeCell ref="A1:D4"/>
    <mergeCell ref="E1:F4"/>
    <mergeCell ref="G1:G4"/>
    <mergeCell ref="H1:H4"/>
    <mergeCell ref="K1:L2"/>
    <mergeCell ref="M1:N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B7267-48BD-4001-B10F-C0EFF5B3A86D}">
  <dimension ref="A1:P109"/>
  <sheetViews>
    <sheetView tabSelected="1" workbookViewId="0">
      <selection activeCell="I49" sqref="I49"/>
    </sheetView>
  </sheetViews>
  <sheetFormatPr defaultRowHeight="15.75" x14ac:dyDescent="0.2"/>
  <cols>
    <col min="1" max="6" width="9" style="1"/>
    <col min="7" max="7" width="15.75" style="17" customWidth="1"/>
    <col min="8" max="8" width="17.25" style="17" customWidth="1"/>
    <col min="9" max="10" width="9" style="14"/>
    <col min="11" max="12" width="15.875" style="1" customWidth="1"/>
    <col min="13" max="16" width="17.75" style="1" customWidth="1"/>
  </cols>
  <sheetData>
    <row r="1" spans="1:16" x14ac:dyDescent="0.2">
      <c r="A1" s="2" t="s">
        <v>0</v>
      </c>
      <c r="B1" s="2"/>
      <c r="C1" s="2"/>
      <c r="D1" s="2"/>
      <c r="E1" s="2" t="s">
        <v>8</v>
      </c>
      <c r="F1" s="2"/>
      <c r="G1" s="2" t="s">
        <v>12</v>
      </c>
      <c r="H1" s="2" t="s">
        <v>13</v>
      </c>
      <c r="K1" s="18" t="s">
        <v>18</v>
      </c>
      <c r="L1" s="18"/>
      <c r="M1" s="18" t="s">
        <v>16</v>
      </c>
      <c r="N1" s="18"/>
      <c r="O1" s="18" t="s">
        <v>17</v>
      </c>
      <c r="P1" s="18"/>
    </row>
    <row r="2" spans="1:16" x14ac:dyDescent="0.2">
      <c r="A2" s="2"/>
      <c r="B2" s="2"/>
      <c r="C2" s="2"/>
      <c r="D2" s="2"/>
      <c r="E2" s="2"/>
      <c r="F2" s="2"/>
      <c r="G2" s="2"/>
      <c r="H2" s="2"/>
      <c r="K2" s="18"/>
      <c r="L2" s="18"/>
      <c r="M2" s="18"/>
      <c r="N2" s="18"/>
      <c r="O2" s="18"/>
      <c r="P2" s="18"/>
    </row>
    <row r="3" spans="1:16" x14ac:dyDescent="0.2">
      <c r="A3" s="2"/>
      <c r="B3" s="2"/>
      <c r="C3" s="2"/>
      <c r="D3" s="2"/>
      <c r="E3" s="2"/>
      <c r="F3" s="2"/>
      <c r="G3" s="2"/>
      <c r="H3" s="2"/>
      <c r="K3" s="18" t="s">
        <v>12</v>
      </c>
      <c r="L3" s="18" t="s">
        <v>13</v>
      </c>
      <c r="M3" s="18" t="s">
        <v>12</v>
      </c>
      <c r="N3" s="18" t="s">
        <v>13</v>
      </c>
      <c r="O3" s="18" t="s">
        <v>12</v>
      </c>
      <c r="P3" s="18" t="s">
        <v>13</v>
      </c>
    </row>
    <row r="4" spans="1:16" x14ac:dyDescent="0.2">
      <c r="A4" s="2"/>
      <c r="B4" s="2"/>
      <c r="C4" s="2"/>
      <c r="D4" s="2"/>
      <c r="E4" s="2"/>
      <c r="F4" s="2"/>
      <c r="G4" s="2"/>
      <c r="H4" s="2"/>
      <c r="K4" s="18"/>
      <c r="L4" s="18"/>
      <c r="M4" s="18"/>
      <c r="N4" s="18"/>
      <c r="O4" s="18"/>
      <c r="P4" s="18"/>
    </row>
    <row r="5" spans="1:16" x14ac:dyDescent="0.2">
      <c r="A5" s="2" t="s">
        <v>1</v>
      </c>
      <c r="B5" s="2"/>
      <c r="C5" s="2" t="s">
        <v>2</v>
      </c>
      <c r="D5" s="2"/>
      <c r="E5" s="2" t="s">
        <v>2</v>
      </c>
      <c r="F5" s="2"/>
      <c r="G5" s="16">
        <v>16.186699999999998</v>
      </c>
      <c r="H5" s="16">
        <v>15.2445</v>
      </c>
      <c r="K5" s="19">
        <f>AVERAGE(G5:G9)</f>
        <v>14.81268</v>
      </c>
      <c r="L5" s="25">
        <f>AVERAGE(H5:H9)</f>
        <v>14.28922</v>
      </c>
      <c r="M5" s="19">
        <f>AVERAGE(K5)</f>
        <v>14.81268</v>
      </c>
      <c r="N5" s="15">
        <f>AVERAGE(L5)</f>
        <v>14.28922</v>
      </c>
      <c r="O5" s="20">
        <f>AVERAGE(K5:K109)</f>
        <v>12.356821904761906</v>
      </c>
      <c r="P5" s="21">
        <f>AVERAGE(L5:L109)</f>
        <v>12.201042857142861</v>
      </c>
    </row>
    <row r="6" spans="1:16" x14ac:dyDescent="0.2">
      <c r="A6" s="2"/>
      <c r="B6" s="2"/>
      <c r="C6" s="2"/>
      <c r="D6" s="2"/>
      <c r="E6" s="2"/>
      <c r="F6" s="2"/>
      <c r="G6" s="16">
        <v>13.9986</v>
      </c>
      <c r="H6" s="16">
        <v>14.2059</v>
      </c>
      <c r="K6" s="19"/>
      <c r="L6" s="25"/>
      <c r="M6" s="19"/>
      <c r="N6" s="15"/>
      <c r="O6" s="20"/>
      <c r="P6" s="21"/>
    </row>
    <row r="7" spans="1:16" x14ac:dyDescent="0.2">
      <c r="A7" s="2"/>
      <c r="B7" s="2"/>
      <c r="C7" s="2"/>
      <c r="D7" s="2"/>
      <c r="E7" s="2"/>
      <c r="F7" s="2"/>
      <c r="G7" s="16">
        <v>14.5679</v>
      </c>
      <c r="H7" s="16">
        <v>14.907500000000001</v>
      </c>
      <c r="K7" s="19"/>
      <c r="L7" s="25"/>
      <c r="M7" s="19"/>
      <c r="N7" s="15"/>
      <c r="O7" s="20"/>
      <c r="P7" s="21"/>
    </row>
    <row r="8" spans="1:16" x14ac:dyDescent="0.2">
      <c r="A8" s="2"/>
      <c r="B8" s="2"/>
      <c r="C8" s="2"/>
      <c r="D8" s="2"/>
      <c r="E8" s="2"/>
      <c r="F8" s="2"/>
      <c r="G8" s="16">
        <v>14.655099999999999</v>
      </c>
      <c r="H8" s="16">
        <v>13.5441</v>
      </c>
      <c r="K8" s="19"/>
      <c r="L8" s="25"/>
      <c r="M8" s="19"/>
      <c r="N8" s="15"/>
      <c r="O8" s="20"/>
      <c r="P8" s="21"/>
    </row>
    <row r="9" spans="1:16" x14ac:dyDescent="0.2">
      <c r="A9" s="2"/>
      <c r="B9" s="2"/>
      <c r="C9" s="2"/>
      <c r="D9" s="2"/>
      <c r="E9" s="2"/>
      <c r="F9" s="2"/>
      <c r="G9" s="16">
        <v>14.655099999999999</v>
      </c>
      <c r="H9" s="16">
        <v>13.5441</v>
      </c>
      <c r="K9" s="19"/>
      <c r="L9" s="25"/>
      <c r="M9" s="19"/>
      <c r="N9" s="15"/>
      <c r="O9" s="20"/>
      <c r="P9" s="21"/>
    </row>
    <row r="10" spans="1:16" x14ac:dyDescent="0.2">
      <c r="A10" s="5" t="s">
        <v>7</v>
      </c>
      <c r="B10" s="6"/>
      <c r="C10" s="5" t="s">
        <v>9</v>
      </c>
      <c r="D10" s="3"/>
      <c r="E10" s="2" t="s">
        <v>2</v>
      </c>
      <c r="F10" s="2"/>
      <c r="G10" s="16">
        <v>15.7529</v>
      </c>
      <c r="H10" s="16">
        <v>14.006500000000001</v>
      </c>
      <c r="K10" s="19">
        <f t="shared" ref="K10:L10" si="0">AVERAGE(G10:G14)</f>
        <v>15.3041</v>
      </c>
      <c r="L10" s="25">
        <f t="shared" si="0"/>
        <v>15.174000000000001</v>
      </c>
      <c r="M10" s="19">
        <f>AVERAGE(K10:K59)</f>
        <v>11.717096000000002</v>
      </c>
      <c r="N10" s="15">
        <f>AVERAGE(L10:L59)</f>
        <v>11.360860000000002</v>
      </c>
      <c r="O10" s="20"/>
      <c r="P10" s="21"/>
    </row>
    <row r="11" spans="1:16" x14ac:dyDescent="0.2">
      <c r="A11" s="7"/>
      <c r="B11" s="8"/>
      <c r="C11" s="11"/>
      <c r="D11" s="4"/>
      <c r="E11" s="2"/>
      <c r="F11" s="2"/>
      <c r="G11" s="16">
        <v>15.7989</v>
      </c>
      <c r="H11" s="16">
        <v>14.933400000000001</v>
      </c>
      <c r="K11" s="19"/>
      <c r="L11" s="25"/>
      <c r="M11" s="19"/>
      <c r="N11" s="15"/>
      <c r="O11" s="20"/>
      <c r="P11" s="21"/>
    </row>
    <row r="12" spans="1:16" x14ac:dyDescent="0.2">
      <c r="A12" s="7"/>
      <c r="B12" s="8"/>
      <c r="C12" s="11"/>
      <c r="D12" s="4"/>
      <c r="E12" s="2"/>
      <c r="F12" s="2"/>
      <c r="G12" s="16">
        <v>15.894500000000001</v>
      </c>
      <c r="H12" s="16">
        <v>15.389699999999999</v>
      </c>
      <c r="K12" s="19"/>
      <c r="L12" s="25"/>
      <c r="M12" s="19"/>
      <c r="N12" s="15"/>
      <c r="O12" s="20"/>
      <c r="P12" s="21"/>
    </row>
    <row r="13" spans="1:16" x14ac:dyDescent="0.2">
      <c r="A13" s="7"/>
      <c r="B13" s="8"/>
      <c r="C13" s="11"/>
      <c r="D13" s="4"/>
      <c r="E13" s="2"/>
      <c r="F13" s="2"/>
      <c r="G13" s="16">
        <v>14.537100000000001</v>
      </c>
      <c r="H13" s="16">
        <v>15.770200000000001</v>
      </c>
      <c r="K13" s="19"/>
      <c r="L13" s="25"/>
      <c r="M13" s="19"/>
      <c r="N13" s="15"/>
      <c r="O13" s="20"/>
      <c r="P13" s="21"/>
    </row>
    <row r="14" spans="1:16" x14ac:dyDescent="0.2">
      <c r="A14" s="7"/>
      <c r="B14" s="8"/>
      <c r="C14" s="11"/>
      <c r="D14" s="4"/>
      <c r="E14" s="2"/>
      <c r="F14" s="2"/>
      <c r="G14" s="16">
        <v>14.537100000000001</v>
      </c>
      <c r="H14" s="16">
        <v>15.770200000000001</v>
      </c>
      <c r="K14" s="19"/>
      <c r="L14" s="25"/>
      <c r="M14" s="19"/>
      <c r="N14" s="15"/>
      <c r="O14" s="20"/>
      <c r="P14" s="21"/>
    </row>
    <row r="15" spans="1:16" x14ac:dyDescent="0.2">
      <c r="A15" s="7"/>
      <c r="B15" s="8"/>
      <c r="C15" s="11"/>
      <c r="D15" s="4"/>
      <c r="E15" s="2" t="s">
        <v>3</v>
      </c>
      <c r="F15" s="2"/>
      <c r="G15" s="16">
        <v>13.3085</v>
      </c>
      <c r="H15" s="16">
        <v>13.8637</v>
      </c>
      <c r="K15" s="25">
        <f t="shared" ref="K15:L15" si="1">AVERAGE(G15:G19)</f>
        <v>13.454879999999999</v>
      </c>
      <c r="L15" s="19">
        <f t="shared" si="1"/>
        <v>13.51924</v>
      </c>
      <c r="M15" s="19"/>
      <c r="N15" s="15"/>
      <c r="O15" s="20"/>
      <c r="P15" s="21"/>
    </row>
    <row r="16" spans="1:16" x14ac:dyDescent="0.2">
      <c r="A16" s="7"/>
      <c r="B16" s="8"/>
      <c r="C16" s="11"/>
      <c r="D16" s="4"/>
      <c r="E16" s="2"/>
      <c r="F16" s="2"/>
      <c r="G16" s="16">
        <v>13.647399999999999</v>
      </c>
      <c r="H16" s="16">
        <v>13.202199999999999</v>
      </c>
      <c r="K16" s="25"/>
      <c r="L16" s="19"/>
      <c r="M16" s="19"/>
      <c r="N16" s="15"/>
      <c r="O16" s="20"/>
      <c r="P16" s="21"/>
    </row>
    <row r="17" spans="1:16" x14ac:dyDescent="0.2">
      <c r="A17" s="7"/>
      <c r="B17" s="8"/>
      <c r="C17" s="11"/>
      <c r="D17" s="4"/>
      <c r="E17" s="2"/>
      <c r="F17" s="2"/>
      <c r="G17" s="16">
        <v>12.8203</v>
      </c>
      <c r="H17" s="16">
        <v>13.7217</v>
      </c>
      <c r="K17" s="25"/>
      <c r="L17" s="19"/>
      <c r="M17" s="19"/>
      <c r="N17" s="15"/>
      <c r="O17" s="20"/>
      <c r="P17" s="21"/>
    </row>
    <row r="18" spans="1:16" x14ac:dyDescent="0.2">
      <c r="A18" s="7"/>
      <c r="B18" s="8"/>
      <c r="C18" s="11"/>
      <c r="D18" s="4"/>
      <c r="E18" s="2"/>
      <c r="F18" s="2"/>
      <c r="G18" s="16">
        <v>13.7491</v>
      </c>
      <c r="H18" s="16">
        <v>13.404299999999999</v>
      </c>
      <c r="K18" s="25"/>
      <c r="L18" s="19"/>
      <c r="M18" s="19"/>
      <c r="N18" s="15"/>
      <c r="O18" s="20"/>
      <c r="P18" s="21"/>
    </row>
    <row r="19" spans="1:16" x14ac:dyDescent="0.2">
      <c r="A19" s="7"/>
      <c r="B19" s="8"/>
      <c r="C19" s="11"/>
      <c r="D19" s="4"/>
      <c r="E19" s="2"/>
      <c r="F19" s="2"/>
      <c r="G19" s="16">
        <v>13.7491</v>
      </c>
      <c r="H19" s="16">
        <v>13.404299999999999</v>
      </c>
      <c r="K19" s="25"/>
      <c r="L19" s="19"/>
      <c r="M19" s="19"/>
      <c r="N19" s="15"/>
      <c r="O19" s="20"/>
      <c r="P19" s="21"/>
    </row>
    <row r="20" spans="1:16" x14ac:dyDescent="0.2">
      <c r="A20" s="7"/>
      <c r="B20" s="8"/>
      <c r="C20" s="11"/>
      <c r="D20" s="4"/>
      <c r="E20" s="2" t="s">
        <v>4</v>
      </c>
      <c r="F20" s="2"/>
      <c r="G20" s="16">
        <v>13.5251</v>
      </c>
      <c r="H20" s="16">
        <v>13.8346</v>
      </c>
      <c r="K20" s="25">
        <f t="shared" ref="K20:L20" si="2">AVERAGE(G20:G24)</f>
        <v>14.01234</v>
      </c>
      <c r="L20" s="19">
        <f t="shared" si="2"/>
        <v>14.5459</v>
      </c>
      <c r="M20" s="19"/>
      <c r="N20" s="15"/>
      <c r="O20" s="20"/>
      <c r="P20" s="21"/>
    </row>
    <row r="21" spans="1:16" x14ac:dyDescent="0.2">
      <c r="A21" s="7"/>
      <c r="B21" s="8"/>
      <c r="C21" s="11"/>
      <c r="D21" s="4"/>
      <c r="E21" s="2"/>
      <c r="F21" s="2"/>
      <c r="G21" s="16">
        <v>13.5205</v>
      </c>
      <c r="H21" s="16">
        <v>14.7417</v>
      </c>
      <c r="K21" s="25"/>
      <c r="L21" s="19"/>
      <c r="M21" s="19"/>
      <c r="N21" s="15"/>
      <c r="O21" s="20"/>
      <c r="P21" s="21"/>
    </row>
    <row r="22" spans="1:16" x14ac:dyDescent="0.2">
      <c r="A22" s="7"/>
      <c r="B22" s="8"/>
      <c r="C22" s="11"/>
      <c r="D22" s="4"/>
      <c r="E22" s="2"/>
      <c r="F22" s="2"/>
      <c r="G22" s="16">
        <v>14.7707</v>
      </c>
      <c r="H22" s="16">
        <v>14.626200000000001</v>
      </c>
      <c r="K22" s="25"/>
      <c r="L22" s="19"/>
      <c r="M22" s="19"/>
      <c r="N22" s="15"/>
      <c r="O22" s="20"/>
      <c r="P22" s="21"/>
    </row>
    <row r="23" spans="1:16" x14ac:dyDescent="0.2">
      <c r="A23" s="7"/>
      <c r="B23" s="8"/>
      <c r="C23" s="11"/>
      <c r="D23" s="4"/>
      <c r="E23" s="2"/>
      <c r="F23" s="2"/>
      <c r="G23" s="16">
        <v>14.1227</v>
      </c>
      <c r="H23" s="16">
        <v>14.763500000000001</v>
      </c>
      <c r="K23" s="25"/>
      <c r="L23" s="19"/>
      <c r="M23" s="19"/>
      <c r="N23" s="15"/>
      <c r="O23" s="20"/>
      <c r="P23" s="21"/>
    </row>
    <row r="24" spans="1:16" x14ac:dyDescent="0.2">
      <c r="A24" s="7"/>
      <c r="B24" s="8"/>
      <c r="C24" s="11"/>
      <c r="D24" s="4"/>
      <c r="E24" s="2"/>
      <c r="F24" s="2"/>
      <c r="G24" s="16">
        <v>14.1227</v>
      </c>
      <c r="H24" s="16">
        <v>14.763500000000001</v>
      </c>
      <c r="K24" s="25"/>
      <c r="L24" s="19"/>
      <c r="M24" s="19"/>
      <c r="N24" s="15"/>
      <c r="O24" s="20"/>
      <c r="P24" s="21"/>
    </row>
    <row r="25" spans="1:16" x14ac:dyDescent="0.2">
      <c r="A25" s="7"/>
      <c r="B25" s="8"/>
      <c r="C25" s="11"/>
      <c r="D25" s="4"/>
      <c r="E25" s="2" t="s">
        <v>5</v>
      </c>
      <c r="F25" s="2"/>
      <c r="G25" s="16">
        <v>14.5251</v>
      </c>
      <c r="H25" s="16">
        <v>14.3687</v>
      </c>
      <c r="K25" s="19">
        <f t="shared" ref="K25:L25" si="3">AVERAGE(G25:G29)</f>
        <v>14.524660000000001</v>
      </c>
      <c r="L25" s="25">
        <f t="shared" si="3"/>
        <v>14.40546</v>
      </c>
      <c r="M25" s="19"/>
      <c r="N25" s="15"/>
      <c r="O25" s="20"/>
      <c r="P25" s="21"/>
    </row>
    <row r="26" spans="1:16" x14ac:dyDescent="0.2">
      <c r="A26" s="7"/>
      <c r="B26" s="8"/>
      <c r="C26" s="11"/>
      <c r="D26" s="4"/>
      <c r="E26" s="2"/>
      <c r="F26" s="2"/>
      <c r="G26" s="16">
        <v>14.328200000000001</v>
      </c>
      <c r="H26" s="16">
        <v>14.247299999999999</v>
      </c>
      <c r="K26" s="19"/>
      <c r="L26" s="25"/>
      <c r="M26" s="19"/>
      <c r="N26" s="15"/>
      <c r="O26" s="20"/>
      <c r="P26" s="21"/>
    </row>
    <row r="27" spans="1:16" x14ac:dyDescent="0.2">
      <c r="A27" s="7"/>
      <c r="B27" s="8"/>
      <c r="C27" s="11"/>
      <c r="D27" s="4"/>
      <c r="E27" s="2"/>
      <c r="F27" s="2"/>
      <c r="G27" s="16">
        <v>14.65</v>
      </c>
      <c r="H27" s="16">
        <v>14.5753</v>
      </c>
      <c r="K27" s="19"/>
      <c r="L27" s="25"/>
      <c r="M27" s="19"/>
      <c r="N27" s="15"/>
      <c r="O27" s="20"/>
      <c r="P27" s="21"/>
    </row>
    <row r="28" spans="1:16" x14ac:dyDescent="0.2">
      <c r="A28" s="7"/>
      <c r="B28" s="8"/>
      <c r="C28" s="11"/>
      <c r="D28" s="4"/>
      <c r="E28" s="2"/>
      <c r="F28" s="2"/>
      <c r="G28" s="16">
        <v>14.56</v>
      </c>
      <c r="H28" s="16">
        <v>14.417999999999999</v>
      </c>
      <c r="K28" s="19"/>
      <c r="L28" s="25"/>
      <c r="M28" s="19"/>
      <c r="N28" s="15"/>
      <c r="O28" s="20"/>
      <c r="P28" s="21"/>
    </row>
    <row r="29" spans="1:16" x14ac:dyDescent="0.2">
      <c r="A29" s="7"/>
      <c r="B29" s="8"/>
      <c r="C29" s="11"/>
      <c r="D29" s="4"/>
      <c r="E29" s="2"/>
      <c r="F29" s="2"/>
      <c r="G29" s="16">
        <v>14.56</v>
      </c>
      <c r="H29" s="16">
        <v>14.417999999999999</v>
      </c>
      <c r="K29" s="19"/>
      <c r="L29" s="25"/>
      <c r="M29" s="19"/>
      <c r="N29" s="15"/>
      <c r="O29" s="20"/>
      <c r="P29" s="21"/>
    </row>
    <row r="30" spans="1:16" x14ac:dyDescent="0.2">
      <c r="A30" s="7"/>
      <c r="B30" s="8"/>
      <c r="C30" s="11"/>
      <c r="D30" s="4"/>
      <c r="E30" s="2" t="s">
        <v>6</v>
      </c>
      <c r="F30" s="2"/>
      <c r="G30" s="16">
        <v>13.722200000000001</v>
      </c>
      <c r="H30" s="16">
        <v>12.533200000000001</v>
      </c>
      <c r="K30" s="19">
        <f t="shared" ref="K30:L30" si="4">AVERAGE(G30:G34)</f>
        <v>13.813240000000002</v>
      </c>
      <c r="L30" s="25">
        <f t="shared" si="4"/>
        <v>13.020500000000002</v>
      </c>
      <c r="M30" s="19"/>
      <c r="N30" s="15"/>
      <c r="O30" s="20"/>
      <c r="P30" s="21"/>
    </row>
    <row r="31" spans="1:16" x14ac:dyDescent="0.2">
      <c r="A31" s="7"/>
      <c r="B31" s="8"/>
      <c r="C31" s="11"/>
      <c r="D31" s="4"/>
      <c r="E31" s="2"/>
      <c r="F31" s="2"/>
      <c r="G31" s="16">
        <v>13.7293</v>
      </c>
      <c r="H31" s="16">
        <v>12.346399999999999</v>
      </c>
      <c r="K31" s="19"/>
      <c r="L31" s="25"/>
      <c r="M31" s="19"/>
      <c r="N31" s="15"/>
      <c r="O31" s="20"/>
      <c r="P31" s="21"/>
    </row>
    <row r="32" spans="1:16" x14ac:dyDescent="0.2">
      <c r="A32" s="7"/>
      <c r="B32" s="8"/>
      <c r="C32" s="11"/>
      <c r="D32" s="4"/>
      <c r="E32" s="2"/>
      <c r="F32" s="2"/>
      <c r="G32" s="16">
        <v>13.7507</v>
      </c>
      <c r="H32" s="16">
        <v>14.0823</v>
      </c>
      <c r="K32" s="19"/>
      <c r="L32" s="25"/>
      <c r="M32" s="19"/>
      <c r="N32" s="15"/>
      <c r="O32" s="20"/>
      <c r="P32" s="21"/>
    </row>
    <row r="33" spans="1:16" x14ac:dyDescent="0.2">
      <c r="A33" s="7"/>
      <c r="B33" s="8"/>
      <c r="C33" s="11"/>
      <c r="D33" s="4"/>
      <c r="E33" s="2"/>
      <c r="F33" s="2"/>
      <c r="G33" s="16">
        <v>13.932</v>
      </c>
      <c r="H33" s="16">
        <v>13.0703</v>
      </c>
      <c r="K33" s="19"/>
      <c r="L33" s="25"/>
      <c r="M33" s="19"/>
      <c r="N33" s="15"/>
      <c r="O33" s="20"/>
      <c r="P33" s="21"/>
    </row>
    <row r="34" spans="1:16" x14ac:dyDescent="0.2">
      <c r="A34" s="7"/>
      <c r="B34" s="8"/>
      <c r="C34" s="12"/>
      <c r="D34" s="13"/>
      <c r="E34" s="2"/>
      <c r="F34" s="2"/>
      <c r="G34" s="16">
        <v>13.932</v>
      </c>
      <c r="H34" s="16">
        <v>13.0703</v>
      </c>
      <c r="K34" s="19"/>
      <c r="L34" s="25"/>
      <c r="M34" s="19"/>
      <c r="N34" s="15"/>
      <c r="O34" s="20"/>
      <c r="P34" s="21"/>
    </row>
    <row r="35" spans="1:16" x14ac:dyDescent="0.2">
      <c r="A35" s="7"/>
      <c r="B35" s="8"/>
      <c r="C35" s="5" t="s">
        <v>10</v>
      </c>
      <c r="D35" s="3"/>
      <c r="E35" s="2" t="s">
        <v>2</v>
      </c>
      <c r="F35" s="2"/>
      <c r="G35" s="16">
        <v>9.0557999999999996</v>
      </c>
      <c r="H35" s="16">
        <v>8.5960000000000001</v>
      </c>
      <c r="K35" s="19">
        <f t="shared" ref="K35:L35" si="5">AVERAGE(G35:G39)</f>
        <v>8.8990799999999997</v>
      </c>
      <c r="L35" s="25">
        <f t="shared" si="5"/>
        <v>8.7184600000000021</v>
      </c>
      <c r="M35" s="19"/>
      <c r="N35" s="15"/>
      <c r="O35" s="20"/>
      <c r="P35" s="21"/>
    </row>
    <row r="36" spans="1:16" x14ac:dyDescent="0.2">
      <c r="A36" s="7"/>
      <c r="B36" s="8"/>
      <c r="C36" s="11"/>
      <c r="D36" s="4"/>
      <c r="E36" s="2"/>
      <c r="F36" s="2"/>
      <c r="G36" s="16">
        <v>9.0752000000000006</v>
      </c>
      <c r="H36" s="16">
        <v>8.7232000000000003</v>
      </c>
      <c r="K36" s="19"/>
      <c r="L36" s="25"/>
      <c r="M36" s="19"/>
      <c r="N36" s="15"/>
      <c r="O36" s="20"/>
      <c r="P36" s="21"/>
    </row>
    <row r="37" spans="1:16" x14ac:dyDescent="0.2">
      <c r="A37" s="7"/>
      <c r="B37" s="8"/>
      <c r="C37" s="11"/>
      <c r="D37" s="4"/>
      <c r="E37" s="2"/>
      <c r="F37" s="2"/>
      <c r="G37" s="16">
        <v>8.7591999999999999</v>
      </c>
      <c r="H37" s="16">
        <v>8.3362999999999996</v>
      </c>
      <c r="K37" s="19"/>
      <c r="L37" s="25"/>
      <c r="M37" s="19"/>
      <c r="N37" s="15"/>
      <c r="O37" s="20"/>
      <c r="P37" s="21"/>
    </row>
    <row r="38" spans="1:16" x14ac:dyDescent="0.2">
      <c r="A38" s="7"/>
      <c r="B38" s="8"/>
      <c r="C38" s="11"/>
      <c r="D38" s="4"/>
      <c r="E38" s="2"/>
      <c r="F38" s="2"/>
      <c r="G38" s="16">
        <v>8.8026</v>
      </c>
      <c r="H38" s="16">
        <v>8.9684000000000008</v>
      </c>
      <c r="K38" s="19"/>
      <c r="L38" s="25"/>
      <c r="M38" s="19"/>
      <c r="N38" s="15"/>
      <c r="O38" s="20"/>
      <c r="P38" s="21"/>
    </row>
    <row r="39" spans="1:16" x14ac:dyDescent="0.2">
      <c r="A39" s="7"/>
      <c r="B39" s="8"/>
      <c r="C39" s="11"/>
      <c r="D39" s="4"/>
      <c r="E39" s="2"/>
      <c r="F39" s="2"/>
      <c r="G39" s="16">
        <v>8.8026</v>
      </c>
      <c r="H39" s="16">
        <v>8.9684000000000008</v>
      </c>
      <c r="K39" s="19"/>
      <c r="L39" s="25"/>
      <c r="M39" s="19"/>
      <c r="N39" s="15"/>
      <c r="O39" s="20"/>
      <c r="P39" s="21"/>
    </row>
    <row r="40" spans="1:16" x14ac:dyDescent="0.2">
      <c r="A40" s="7"/>
      <c r="B40" s="8"/>
      <c r="C40" s="11"/>
      <c r="D40" s="4"/>
      <c r="E40" s="2" t="s">
        <v>3</v>
      </c>
      <c r="F40" s="2"/>
      <c r="G40" s="16">
        <v>8.0823</v>
      </c>
      <c r="H40" s="16">
        <v>7.6765999999999996</v>
      </c>
      <c r="K40" s="19">
        <f t="shared" ref="K40:L40" si="6">AVERAGE(G40:G44)</f>
        <v>8.0529799999999998</v>
      </c>
      <c r="L40" s="25">
        <f t="shared" si="6"/>
        <v>7.350179999999999</v>
      </c>
      <c r="M40" s="19"/>
      <c r="N40" s="15"/>
      <c r="O40" s="20"/>
      <c r="P40" s="21"/>
    </row>
    <row r="41" spans="1:16" x14ac:dyDescent="0.2">
      <c r="A41" s="7"/>
      <c r="B41" s="8"/>
      <c r="C41" s="11"/>
      <c r="D41" s="4"/>
      <c r="E41" s="2"/>
      <c r="F41" s="2"/>
      <c r="G41" s="16">
        <v>8.7002000000000006</v>
      </c>
      <c r="H41" s="16">
        <v>6.5315000000000003</v>
      </c>
      <c r="K41" s="19"/>
      <c r="L41" s="25"/>
      <c r="M41" s="19"/>
      <c r="N41" s="15"/>
      <c r="O41" s="20"/>
      <c r="P41" s="21"/>
    </row>
    <row r="42" spans="1:16" x14ac:dyDescent="0.2">
      <c r="A42" s="7"/>
      <c r="B42" s="8"/>
      <c r="C42" s="11"/>
      <c r="D42" s="4"/>
      <c r="E42" s="2"/>
      <c r="F42" s="2"/>
      <c r="G42" s="16">
        <v>8.2431999999999999</v>
      </c>
      <c r="H42" s="16">
        <v>6.4555999999999996</v>
      </c>
      <c r="K42" s="19"/>
      <c r="L42" s="25"/>
      <c r="M42" s="19"/>
      <c r="N42" s="15"/>
      <c r="O42" s="20"/>
      <c r="P42" s="21"/>
    </row>
    <row r="43" spans="1:16" x14ac:dyDescent="0.2">
      <c r="A43" s="7"/>
      <c r="B43" s="8"/>
      <c r="C43" s="11"/>
      <c r="D43" s="4"/>
      <c r="E43" s="2"/>
      <c r="F43" s="2"/>
      <c r="G43" s="16">
        <v>7.6196000000000002</v>
      </c>
      <c r="H43" s="16">
        <v>8.0435999999999996</v>
      </c>
      <c r="K43" s="19"/>
      <c r="L43" s="25"/>
      <c r="M43" s="19"/>
      <c r="N43" s="15"/>
      <c r="O43" s="20"/>
      <c r="P43" s="21"/>
    </row>
    <row r="44" spans="1:16" x14ac:dyDescent="0.2">
      <c r="A44" s="7"/>
      <c r="B44" s="8"/>
      <c r="C44" s="11"/>
      <c r="D44" s="4"/>
      <c r="E44" s="2"/>
      <c r="F44" s="2"/>
      <c r="G44" s="16">
        <v>7.6196000000000002</v>
      </c>
      <c r="H44" s="16">
        <v>8.0435999999999996</v>
      </c>
      <c r="K44" s="19"/>
      <c r="L44" s="25"/>
      <c r="M44" s="19"/>
      <c r="N44" s="15"/>
      <c r="O44" s="20"/>
      <c r="P44" s="21"/>
    </row>
    <row r="45" spans="1:16" x14ac:dyDescent="0.2">
      <c r="A45" s="7"/>
      <c r="B45" s="8"/>
      <c r="C45" s="11"/>
      <c r="D45" s="4"/>
      <c r="E45" s="2" t="s">
        <v>4</v>
      </c>
      <c r="F45" s="2"/>
      <c r="G45" s="16">
        <v>10.317500000000001</v>
      </c>
      <c r="H45" s="16">
        <v>9.8272999999999993</v>
      </c>
      <c r="K45" s="19">
        <f t="shared" ref="K45:L45" si="7">AVERAGE(G45:G49)</f>
        <v>9.7713600000000014</v>
      </c>
      <c r="L45" s="25">
        <f t="shared" si="7"/>
        <v>8.9721200000000003</v>
      </c>
      <c r="M45" s="19"/>
      <c r="N45" s="15"/>
      <c r="O45" s="20"/>
      <c r="P45" s="21"/>
    </row>
    <row r="46" spans="1:16" x14ac:dyDescent="0.2">
      <c r="A46" s="7"/>
      <c r="B46" s="8"/>
      <c r="C46" s="11"/>
      <c r="D46" s="4"/>
      <c r="E46" s="2"/>
      <c r="F46" s="2"/>
      <c r="G46" s="16">
        <v>10.347200000000001</v>
      </c>
      <c r="H46" s="16">
        <v>9.2608999999999995</v>
      </c>
      <c r="K46" s="19"/>
      <c r="L46" s="25"/>
      <c r="M46" s="19"/>
      <c r="N46" s="15"/>
      <c r="O46" s="20"/>
      <c r="P46" s="21"/>
    </row>
    <row r="47" spans="1:16" x14ac:dyDescent="0.2">
      <c r="A47" s="7"/>
      <c r="B47" s="8"/>
      <c r="C47" s="11"/>
      <c r="D47" s="4"/>
      <c r="E47" s="2"/>
      <c r="F47" s="2"/>
      <c r="G47" s="16">
        <v>10.0403</v>
      </c>
      <c r="H47" s="16">
        <v>7.9038000000000004</v>
      </c>
      <c r="K47" s="19"/>
      <c r="L47" s="25"/>
      <c r="M47" s="19"/>
      <c r="N47" s="15"/>
      <c r="O47" s="20"/>
      <c r="P47" s="21"/>
    </row>
    <row r="48" spans="1:16" x14ac:dyDescent="0.2">
      <c r="A48" s="7"/>
      <c r="B48" s="8"/>
      <c r="C48" s="11"/>
      <c r="D48" s="4"/>
      <c r="E48" s="2"/>
      <c r="F48" s="2"/>
      <c r="G48" s="16">
        <v>9.0759000000000007</v>
      </c>
      <c r="H48" s="16">
        <v>8.9343000000000004</v>
      </c>
      <c r="K48" s="19"/>
      <c r="L48" s="25"/>
      <c r="M48" s="19"/>
      <c r="N48" s="15"/>
      <c r="O48" s="20"/>
      <c r="P48" s="21"/>
    </row>
    <row r="49" spans="1:16" x14ac:dyDescent="0.2">
      <c r="A49" s="7"/>
      <c r="B49" s="8"/>
      <c r="C49" s="11"/>
      <c r="D49" s="4"/>
      <c r="E49" s="2"/>
      <c r="F49" s="2"/>
      <c r="G49" s="16">
        <v>9.0759000000000007</v>
      </c>
      <c r="H49" s="16">
        <v>8.9343000000000004</v>
      </c>
      <c r="K49" s="19"/>
      <c r="L49" s="25"/>
      <c r="M49" s="19"/>
      <c r="N49" s="15"/>
      <c r="O49" s="20"/>
      <c r="P49" s="21"/>
    </row>
    <row r="50" spans="1:16" x14ac:dyDescent="0.2">
      <c r="A50" s="7"/>
      <c r="B50" s="8"/>
      <c r="C50" s="11"/>
      <c r="D50" s="4"/>
      <c r="E50" s="2" t="s">
        <v>5</v>
      </c>
      <c r="F50" s="2"/>
      <c r="G50" s="16">
        <v>10.0441</v>
      </c>
      <c r="H50" s="16">
        <v>9.3452000000000002</v>
      </c>
      <c r="K50" s="19">
        <f t="shared" ref="K50:L50" si="8">AVERAGE(G50:G54)</f>
        <v>10.16798</v>
      </c>
      <c r="L50" s="25">
        <f t="shared" si="8"/>
        <v>8.9492799999999999</v>
      </c>
      <c r="M50" s="19"/>
      <c r="N50" s="15"/>
      <c r="O50" s="20"/>
      <c r="P50" s="21"/>
    </row>
    <row r="51" spans="1:16" x14ac:dyDescent="0.2">
      <c r="A51" s="7"/>
      <c r="B51" s="8"/>
      <c r="C51" s="11"/>
      <c r="D51" s="4"/>
      <c r="E51" s="2"/>
      <c r="F51" s="2"/>
      <c r="G51" s="16">
        <v>10.1693</v>
      </c>
      <c r="H51" s="16">
        <v>9.5220000000000002</v>
      </c>
      <c r="K51" s="19"/>
      <c r="L51" s="25"/>
      <c r="M51" s="19"/>
      <c r="N51" s="15"/>
      <c r="O51" s="20"/>
      <c r="P51" s="21"/>
    </row>
    <row r="52" spans="1:16" x14ac:dyDescent="0.2">
      <c r="A52" s="7"/>
      <c r="B52" s="8"/>
      <c r="C52" s="11"/>
      <c r="D52" s="4"/>
      <c r="E52" s="2"/>
      <c r="F52" s="2"/>
      <c r="G52" s="16">
        <v>9.3925000000000001</v>
      </c>
      <c r="H52" s="16">
        <v>10.1866</v>
      </c>
      <c r="K52" s="19"/>
      <c r="L52" s="25"/>
      <c r="M52" s="19"/>
      <c r="N52" s="15"/>
      <c r="O52" s="20"/>
      <c r="P52" s="21"/>
    </row>
    <row r="53" spans="1:16" x14ac:dyDescent="0.2">
      <c r="A53" s="7"/>
      <c r="B53" s="8"/>
      <c r="C53" s="11"/>
      <c r="D53" s="4"/>
      <c r="E53" s="2"/>
      <c r="F53" s="2"/>
      <c r="G53" s="16">
        <v>10.617000000000001</v>
      </c>
      <c r="H53" s="16">
        <v>7.8463000000000003</v>
      </c>
      <c r="K53" s="19"/>
      <c r="L53" s="25"/>
      <c r="M53" s="19"/>
      <c r="N53" s="15"/>
      <c r="O53" s="20"/>
      <c r="P53" s="21"/>
    </row>
    <row r="54" spans="1:16" x14ac:dyDescent="0.2">
      <c r="A54" s="7"/>
      <c r="B54" s="8"/>
      <c r="C54" s="11"/>
      <c r="D54" s="4"/>
      <c r="E54" s="2"/>
      <c r="F54" s="2"/>
      <c r="G54" s="16">
        <v>10.617000000000001</v>
      </c>
      <c r="H54" s="16">
        <v>7.8463000000000003</v>
      </c>
      <c r="K54" s="19"/>
      <c r="L54" s="25"/>
      <c r="M54" s="19"/>
      <c r="N54" s="15"/>
      <c r="O54" s="20"/>
      <c r="P54" s="21"/>
    </row>
    <row r="55" spans="1:16" x14ac:dyDescent="0.2">
      <c r="A55" s="7"/>
      <c r="B55" s="8"/>
      <c r="C55" s="11"/>
      <c r="D55" s="4"/>
      <c r="E55" s="2" t="s">
        <v>6</v>
      </c>
      <c r="F55" s="2"/>
      <c r="G55" s="16">
        <v>8.3579000000000008</v>
      </c>
      <c r="H55" s="16">
        <v>9.3768999999999991</v>
      </c>
      <c r="K55" s="19">
        <f t="shared" ref="K55:L55" si="9">AVERAGE(G55:G59)</f>
        <v>9.1703399999999995</v>
      </c>
      <c r="L55" s="25">
        <f t="shared" si="9"/>
        <v>8.9534599999999998</v>
      </c>
      <c r="M55" s="19"/>
      <c r="N55" s="15"/>
      <c r="O55" s="20"/>
      <c r="P55" s="21"/>
    </row>
    <row r="56" spans="1:16" x14ac:dyDescent="0.2">
      <c r="A56" s="7"/>
      <c r="B56" s="8"/>
      <c r="C56" s="11"/>
      <c r="D56" s="4"/>
      <c r="E56" s="2"/>
      <c r="F56" s="2"/>
      <c r="G56" s="16">
        <v>9.9667999999999992</v>
      </c>
      <c r="H56" s="16">
        <v>10.1343</v>
      </c>
      <c r="K56" s="19"/>
      <c r="L56" s="25"/>
      <c r="M56" s="19"/>
      <c r="N56" s="15"/>
      <c r="O56" s="20"/>
      <c r="P56" s="21"/>
    </row>
    <row r="57" spans="1:16" x14ac:dyDescent="0.2">
      <c r="A57" s="7"/>
      <c r="B57" s="8"/>
      <c r="C57" s="11"/>
      <c r="D57" s="4"/>
      <c r="E57" s="2"/>
      <c r="F57" s="2"/>
      <c r="G57" s="16">
        <v>10.7882</v>
      </c>
      <c r="H57" s="16">
        <v>7.6783000000000001</v>
      </c>
      <c r="K57" s="19"/>
      <c r="L57" s="25"/>
      <c r="M57" s="19"/>
      <c r="N57" s="15"/>
      <c r="O57" s="20"/>
      <c r="P57" s="21"/>
    </row>
    <row r="58" spans="1:16" x14ac:dyDescent="0.2">
      <c r="A58" s="7"/>
      <c r="B58" s="8"/>
      <c r="C58" s="11"/>
      <c r="D58" s="4"/>
      <c r="E58" s="2"/>
      <c r="F58" s="2"/>
      <c r="G58" s="16">
        <v>8.3694000000000006</v>
      </c>
      <c r="H58" s="16">
        <v>8.7888999999999999</v>
      </c>
      <c r="K58" s="19"/>
      <c r="L58" s="25"/>
      <c r="M58" s="19"/>
      <c r="N58" s="15"/>
      <c r="O58" s="20"/>
      <c r="P58" s="21"/>
    </row>
    <row r="59" spans="1:16" x14ac:dyDescent="0.2">
      <c r="A59" s="9"/>
      <c r="B59" s="10"/>
      <c r="C59" s="12"/>
      <c r="D59" s="13"/>
      <c r="E59" s="2"/>
      <c r="F59" s="2"/>
      <c r="G59" s="16">
        <v>8.3694000000000006</v>
      </c>
      <c r="H59" s="16">
        <v>8.7888999999999999</v>
      </c>
      <c r="K59" s="19"/>
      <c r="L59" s="25"/>
      <c r="M59" s="19"/>
      <c r="N59" s="15"/>
      <c r="O59" s="20"/>
      <c r="P59" s="21"/>
    </row>
    <row r="60" spans="1:16" x14ac:dyDescent="0.2">
      <c r="A60" s="5" t="s">
        <v>11</v>
      </c>
      <c r="B60" s="6"/>
      <c r="C60" s="5" t="s">
        <v>9</v>
      </c>
      <c r="D60" s="6"/>
      <c r="E60" s="2" t="s">
        <v>2</v>
      </c>
      <c r="F60" s="2"/>
      <c r="G60" s="16">
        <v>12.573</v>
      </c>
      <c r="H60" s="16">
        <v>11.5739</v>
      </c>
      <c r="K60" s="19">
        <f t="shared" ref="K60:L60" si="10">AVERAGE(G60:G64)</f>
        <v>12.52134</v>
      </c>
      <c r="L60" s="25">
        <f t="shared" si="10"/>
        <v>12.447840000000003</v>
      </c>
      <c r="M60" s="15">
        <f>AVERAGE(K60:K109)</f>
        <v>12.750962000000001</v>
      </c>
      <c r="N60" s="19">
        <f>AVERAGE(L60:L109)</f>
        <v>12.832408000000001</v>
      </c>
      <c r="O60" s="20"/>
      <c r="P60" s="21"/>
    </row>
    <row r="61" spans="1:16" x14ac:dyDescent="0.2">
      <c r="A61" s="7"/>
      <c r="B61" s="8"/>
      <c r="C61" s="7"/>
      <c r="D61" s="8"/>
      <c r="E61" s="2"/>
      <c r="F61" s="2"/>
      <c r="G61" s="16">
        <v>13.700900000000001</v>
      </c>
      <c r="H61" s="16">
        <v>11.7629</v>
      </c>
      <c r="K61" s="19"/>
      <c r="L61" s="25"/>
      <c r="M61" s="15"/>
      <c r="N61" s="19"/>
      <c r="O61" s="20"/>
      <c r="P61" s="21"/>
    </row>
    <row r="62" spans="1:16" x14ac:dyDescent="0.2">
      <c r="A62" s="7"/>
      <c r="B62" s="8"/>
      <c r="C62" s="7"/>
      <c r="D62" s="8"/>
      <c r="E62" s="2"/>
      <c r="F62" s="2"/>
      <c r="G62" s="16">
        <v>9.7514000000000003</v>
      </c>
      <c r="H62" s="16">
        <v>13.326000000000001</v>
      </c>
      <c r="K62" s="19"/>
      <c r="L62" s="25"/>
      <c r="M62" s="15"/>
      <c r="N62" s="19"/>
      <c r="O62" s="20"/>
      <c r="P62" s="21"/>
    </row>
    <row r="63" spans="1:16" x14ac:dyDescent="0.2">
      <c r="A63" s="7"/>
      <c r="B63" s="8"/>
      <c r="C63" s="7"/>
      <c r="D63" s="8"/>
      <c r="E63" s="2"/>
      <c r="F63" s="2"/>
      <c r="G63" s="16">
        <v>13.290699999999999</v>
      </c>
      <c r="H63" s="16">
        <v>12.7882</v>
      </c>
      <c r="K63" s="19"/>
      <c r="L63" s="25"/>
      <c r="M63" s="15"/>
      <c r="N63" s="19"/>
      <c r="O63" s="20"/>
      <c r="P63" s="21"/>
    </row>
    <row r="64" spans="1:16" x14ac:dyDescent="0.2">
      <c r="A64" s="7"/>
      <c r="B64" s="8"/>
      <c r="C64" s="7"/>
      <c r="D64" s="8"/>
      <c r="E64" s="2"/>
      <c r="F64" s="2"/>
      <c r="G64" s="16">
        <v>13.290699999999999</v>
      </c>
      <c r="H64" s="16">
        <v>12.7882</v>
      </c>
      <c r="K64" s="19"/>
      <c r="L64" s="25"/>
      <c r="M64" s="15"/>
      <c r="N64" s="19"/>
      <c r="O64" s="20"/>
      <c r="P64" s="21"/>
    </row>
    <row r="65" spans="1:16" x14ac:dyDescent="0.2">
      <c r="A65" s="7"/>
      <c r="B65" s="8"/>
      <c r="C65" s="7"/>
      <c r="D65" s="8"/>
      <c r="E65" s="2" t="s">
        <v>3</v>
      </c>
      <c r="F65" s="2"/>
      <c r="G65" s="16">
        <v>11.3705</v>
      </c>
      <c r="H65" s="16">
        <v>12.995100000000001</v>
      </c>
      <c r="K65" s="25">
        <f t="shared" ref="K65:L65" si="11">AVERAGE(G65:G69)</f>
        <v>12.475840000000002</v>
      </c>
      <c r="L65" s="19">
        <f t="shared" si="11"/>
        <v>12.510540000000001</v>
      </c>
      <c r="M65" s="15"/>
      <c r="N65" s="19"/>
      <c r="O65" s="20"/>
      <c r="P65" s="21"/>
    </row>
    <row r="66" spans="1:16" x14ac:dyDescent="0.2">
      <c r="A66" s="7"/>
      <c r="B66" s="8"/>
      <c r="C66" s="7"/>
      <c r="D66" s="8"/>
      <c r="E66" s="2"/>
      <c r="F66" s="2"/>
      <c r="G66" s="16">
        <v>12.817</v>
      </c>
      <c r="H66" s="16">
        <v>12.651999999999999</v>
      </c>
      <c r="K66" s="25"/>
      <c r="L66" s="19"/>
      <c r="M66" s="15"/>
      <c r="N66" s="19"/>
      <c r="O66" s="20"/>
      <c r="P66" s="21"/>
    </row>
    <row r="67" spans="1:16" x14ac:dyDescent="0.2">
      <c r="A67" s="7"/>
      <c r="B67" s="8"/>
      <c r="C67" s="7"/>
      <c r="D67" s="8"/>
      <c r="E67" s="2"/>
      <c r="F67" s="2"/>
      <c r="G67" s="16">
        <v>13.116099999999999</v>
      </c>
      <c r="H67" s="16">
        <v>12.6556</v>
      </c>
      <c r="K67" s="25"/>
      <c r="L67" s="19"/>
      <c r="M67" s="15"/>
      <c r="N67" s="19"/>
      <c r="O67" s="20"/>
      <c r="P67" s="21"/>
    </row>
    <row r="68" spans="1:16" x14ac:dyDescent="0.2">
      <c r="A68" s="7"/>
      <c r="B68" s="8"/>
      <c r="C68" s="7"/>
      <c r="D68" s="8"/>
      <c r="E68" s="2"/>
      <c r="F68" s="2"/>
      <c r="G68" s="16">
        <v>12.537800000000001</v>
      </c>
      <c r="H68" s="16">
        <v>12.125</v>
      </c>
      <c r="K68" s="25"/>
      <c r="L68" s="19"/>
      <c r="M68" s="15"/>
      <c r="N68" s="19"/>
      <c r="O68" s="20"/>
      <c r="P68" s="21"/>
    </row>
    <row r="69" spans="1:16" x14ac:dyDescent="0.2">
      <c r="A69" s="7"/>
      <c r="B69" s="8"/>
      <c r="C69" s="7"/>
      <c r="D69" s="8"/>
      <c r="E69" s="2"/>
      <c r="F69" s="2"/>
      <c r="G69" s="16">
        <v>12.537800000000001</v>
      </c>
      <c r="H69" s="16">
        <v>12.125</v>
      </c>
      <c r="K69" s="25"/>
      <c r="L69" s="19"/>
      <c r="M69" s="15"/>
      <c r="N69" s="19"/>
      <c r="O69" s="20"/>
      <c r="P69" s="21"/>
    </row>
    <row r="70" spans="1:16" x14ac:dyDescent="0.2">
      <c r="A70" s="7"/>
      <c r="B70" s="8"/>
      <c r="C70" s="7"/>
      <c r="D70" s="8"/>
      <c r="E70" s="2" t="s">
        <v>4</v>
      </c>
      <c r="F70" s="2"/>
      <c r="G70" s="16">
        <v>10.811299999999999</v>
      </c>
      <c r="H70" s="16">
        <v>12.687799999999999</v>
      </c>
      <c r="K70" s="25">
        <f t="shared" ref="K70:L70" si="12">AVERAGE(G70:G74)</f>
        <v>12.27252</v>
      </c>
      <c r="L70" s="19">
        <f t="shared" si="12"/>
        <v>12.991500000000002</v>
      </c>
      <c r="M70" s="15"/>
      <c r="N70" s="19"/>
      <c r="O70" s="20"/>
      <c r="P70" s="21"/>
    </row>
    <row r="71" spans="1:16" x14ac:dyDescent="0.2">
      <c r="A71" s="7"/>
      <c r="B71" s="8"/>
      <c r="C71" s="7"/>
      <c r="D71" s="8"/>
      <c r="E71" s="2"/>
      <c r="F71" s="2"/>
      <c r="G71" s="16">
        <v>13.123699999999999</v>
      </c>
      <c r="H71" s="16">
        <v>13.1534</v>
      </c>
      <c r="K71" s="25"/>
      <c r="L71" s="19"/>
      <c r="M71" s="15"/>
      <c r="N71" s="19"/>
      <c r="O71" s="20"/>
      <c r="P71" s="21"/>
    </row>
    <row r="72" spans="1:16" x14ac:dyDescent="0.2">
      <c r="A72" s="7"/>
      <c r="B72" s="8"/>
      <c r="C72" s="7"/>
      <c r="D72" s="8"/>
      <c r="E72" s="2"/>
      <c r="F72" s="2"/>
      <c r="G72" s="16">
        <v>12.582800000000001</v>
      </c>
      <c r="H72" s="16">
        <v>12.424899999999999</v>
      </c>
      <c r="K72" s="25"/>
      <c r="L72" s="19"/>
      <c r="M72" s="15"/>
      <c r="N72" s="19"/>
      <c r="O72" s="20"/>
      <c r="P72" s="21"/>
    </row>
    <row r="73" spans="1:16" x14ac:dyDescent="0.2">
      <c r="A73" s="7"/>
      <c r="B73" s="8"/>
      <c r="C73" s="7"/>
      <c r="D73" s="8"/>
      <c r="E73" s="2"/>
      <c r="F73" s="2"/>
      <c r="G73" s="16">
        <v>12.4224</v>
      </c>
      <c r="H73" s="16">
        <v>13.345700000000001</v>
      </c>
      <c r="K73" s="25"/>
      <c r="L73" s="19"/>
      <c r="M73" s="15"/>
      <c r="N73" s="19"/>
      <c r="O73" s="20"/>
      <c r="P73" s="21"/>
    </row>
    <row r="74" spans="1:16" x14ac:dyDescent="0.2">
      <c r="A74" s="7"/>
      <c r="B74" s="8"/>
      <c r="C74" s="7"/>
      <c r="D74" s="8"/>
      <c r="E74" s="2"/>
      <c r="F74" s="2"/>
      <c r="G74" s="16">
        <v>12.4224</v>
      </c>
      <c r="H74" s="16">
        <v>13.345700000000001</v>
      </c>
      <c r="K74" s="25"/>
      <c r="L74" s="19"/>
      <c r="M74" s="15"/>
      <c r="N74" s="19"/>
      <c r="O74" s="20"/>
      <c r="P74" s="21"/>
    </row>
    <row r="75" spans="1:16" x14ac:dyDescent="0.2">
      <c r="A75" s="7"/>
      <c r="B75" s="8"/>
      <c r="C75" s="7"/>
      <c r="D75" s="8"/>
      <c r="E75" s="2" t="s">
        <v>5</v>
      </c>
      <c r="F75" s="2"/>
      <c r="G75" s="16">
        <v>13.6256</v>
      </c>
      <c r="H75" s="16">
        <v>14.0992</v>
      </c>
      <c r="K75" s="25">
        <f t="shared" ref="K75:L75" si="13">AVERAGE(G75:G79)</f>
        <v>13.10566</v>
      </c>
      <c r="L75" s="19">
        <f t="shared" si="13"/>
        <v>13.31756</v>
      </c>
      <c r="M75" s="15"/>
      <c r="N75" s="19"/>
      <c r="O75" s="20"/>
      <c r="P75" s="21"/>
    </row>
    <row r="76" spans="1:16" x14ac:dyDescent="0.2">
      <c r="A76" s="7"/>
      <c r="B76" s="8"/>
      <c r="C76" s="7"/>
      <c r="D76" s="8"/>
      <c r="E76" s="2"/>
      <c r="F76" s="2"/>
      <c r="G76" s="16">
        <v>12.742000000000001</v>
      </c>
      <c r="H76" s="16">
        <v>13.359400000000001</v>
      </c>
      <c r="K76" s="25"/>
      <c r="L76" s="19"/>
      <c r="M76" s="15"/>
      <c r="N76" s="19"/>
      <c r="O76" s="20"/>
      <c r="P76" s="21"/>
    </row>
    <row r="77" spans="1:16" x14ac:dyDescent="0.2">
      <c r="A77" s="7"/>
      <c r="B77" s="8"/>
      <c r="C77" s="7"/>
      <c r="D77" s="8"/>
      <c r="E77" s="2"/>
      <c r="F77" s="2"/>
      <c r="G77" s="16">
        <v>13.1195</v>
      </c>
      <c r="H77" s="16">
        <v>13.728400000000001</v>
      </c>
      <c r="K77" s="25"/>
      <c r="L77" s="19"/>
      <c r="M77" s="15"/>
      <c r="N77" s="19"/>
      <c r="O77" s="20"/>
      <c r="P77" s="21"/>
    </row>
    <row r="78" spans="1:16" x14ac:dyDescent="0.2">
      <c r="A78" s="7"/>
      <c r="B78" s="8"/>
      <c r="C78" s="7"/>
      <c r="D78" s="8"/>
      <c r="E78" s="2"/>
      <c r="F78" s="2"/>
      <c r="G78" s="16">
        <v>13.0206</v>
      </c>
      <c r="H78" s="16">
        <v>12.7004</v>
      </c>
      <c r="K78" s="25"/>
      <c r="L78" s="19"/>
      <c r="M78" s="15"/>
      <c r="N78" s="19"/>
      <c r="O78" s="20"/>
      <c r="P78" s="21"/>
    </row>
    <row r="79" spans="1:16" x14ac:dyDescent="0.2">
      <c r="A79" s="7"/>
      <c r="B79" s="8"/>
      <c r="C79" s="7"/>
      <c r="D79" s="8"/>
      <c r="E79" s="2"/>
      <c r="F79" s="2"/>
      <c r="G79" s="16">
        <v>13.0206</v>
      </c>
      <c r="H79" s="16">
        <v>12.7004</v>
      </c>
      <c r="K79" s="25"/>
      <c r="L79" s="19"/>
      <c r="M79" s="15"/>
      <c r="N79" s="19"/>
      <c r="O79" s="20"/>
      <c r="P79" s="21"/>
    </row>
    <row r="80" spans="1:16" x14ac:dyDescent="0.2">
      <c r="A80" s="7"/>
      <c r="B80" s="8"/>
      <c r="C80" s="7"/>
      <c r="D80" s="8"/>
      <c r="E80" s="2" t="s">
        <v>6</v>
      </c>
      <c r="F80" s="2"/>
      <c r="G80" s="16">
        <v>12.2883</v>
      </c>
      <c r="H80" s="16">
        <v>13.4427</v>
      </c>
      <c r="K80" s="25">
        <f t="shared" ref="K80:L80" si="14">AVERAGE(G80:G84)</f>
        <v>12.73766</v>
      </c>
      <c r="L80" s="19">
        <f t="shared" si="14"/>
        <v>12.953399999999998</v>
      </c>
      <c r="M80" s="15"/>
      <c r="N80" s="19"/>
      <c r="O80" s="20"/>
      <c r="P80" s="21"/>
    </row>
    <row r="81" spans="1:16" x14ac:dyDescent="0.2">
      <c r="A81" s="7"/>
      <c r="B81" s="8"/>
      <c r="C81" s="7"/>
      <c r="D81" s="8"/>
      <c r="E81" s="2"/>
      <c r="F81" s="2"/>
      <c r="G81" s="16">
        <v>13.0595</v>
      </c>
      <c r="H81" s="16">
        <v>13.603300000000001</v>
      </c>
      <c r="K81" s="25"/>
      <c r="L81" s="19"/>
      <c r="M81" s="15"/>
      <c r="N81" s="19"/>
      <c r="O81" s="20"/>
      <c r="P81" s="21"/>
    </row>
    <row r="82" spans="1:16" x14ac:dyDescent="0.2">
      <c r="A82" s="7"/>
      <c r="B82" s="8"/>
      <c r="C82" s="7"/>
      <c r="D82" s="8"/>
      <c r="E82" s="2"/>
      <c r="F82" s="2"/>
      <c r="G82" s="16">
        <v>12.3535</v>
      </c>
      <c r="H82" s="16">
        <v>13.4598</v>
      </c>
      <c r="K82" s="25"/>
      <c r="L82" s="19"/>
      <c r="M82" s="15"/>
      <c r="N82" s="19"/>
      <c r="O82" s="20"/>
      <c r="P82" s="21"/>
    </row>
    <row r="83" spans="1:16" x14ac:dyDescent="0.2">
      <c r="A83" s="7"/>
      <c r="B83" s="8"/>
      <c r="C83" s="7"/>
      <c r="D83" s="8"/>
      <c r="E83" s="2"/>
      <c r="F83" s="2"/>
      <c r="G83" s="16">
        <v>12.993499999999999</v>
      </c>
      <c r="H83" s="16">
        <v>12.130599999999999</v>
      </c>
      <c r="K83" s="25"/>
      <c r="L83" s="19"/>
      <c r="M83" s="15"/>
      <c r="N83" s="19"/>
      <c r="O83" s="20"/>
      <c r="P83" s="21"/>
    </row>
    <row r="84" spans="1:16" x14ac:dyDescent="0.2">
      <c r="A84" s="7"/>
      <c r="B84" s="8"/>
      <c r="C84" s="9"/>
      <c r="D84" s="10"/>
      <c r="E84" s="2"/>
      <c r="F84" s="2"/>
      <c r="G84" s="16">
        <v>12.993499999999999</v>
      </c>
      <c r="H84" s="16">
        <v>12.130599999999999</v>
      </c>
      <c r="K84" s="25"/>
      <c r="L84" s="19"/>
      <c r="M84" s="15"/>
      <c r="N84" s="19"/>
      <c r="O84" s="20"/>
      <c r="P84" s="21"/>
    </row>
    <row r="85" spans="1:16" x14ac:dyDescent="0.2">
      <c r="A85" s="7"/>
      <c r="B85" s="8"/>
      <c r="C85" s="5" t="s">
        <v>10</v>
      </c>
      <c r="D85" s="3"/>
      <c r="E85" s="2" t="s">
        <v>2</v>
      </c>
      <c r="F85" s="2"/>
      <c r="G85" s="16">
        <v>14.0379</v>
      </c>
      <c r="H85" s="16">
        <v>13.905099999999999</v>
      </c>
      <c r="K85" s="25">
        <f t="shared" ref="K85:L85" si="15">AVERAGE(G85:G89)</f>
        <v>13.62588</v>
      </c>
      <c r="L85" s="19">
        <f t="shared" si="15"/>
        <v>13.914060000000001</v>
      </c>
      <c r="M85" s="15"/>
      <c r="N85" s="19"/>
      <c r="O85" s="20"/>
      <c r="P85" s="21"/>
    </row>
    <row r="86" spans="1:16" x14ac:dyDescent="0.2">
      <c r="A86" s="7"/>
      <c r="B86" s="8"/>
      <c r="C86" s="11"/>
      <c r="D86" s="4"/>
      <c r="E86" s="2"/>
      <c r="F86" s="2"/>
      <c r="G86" s="16">
        <v>11.7982</v>
      </c>
      <c r="H86" s="16">
        <v>14.013999999999999</v>
      </c>
      <c r="K86" s="25"/>
      <c r="L86" s="19"/>
      <c r="M86" s="15"/>
      <c r="N86" s="19"/>
      <c r="O86" s="20"/>
      <c r="P86" s="21"/>
    </row>
    <row r="87" spans="1:16" x14ac:dyDescent="0.2">
      <c r="A87" s="7"/>
      <c r="B87" s="8"/>
      <c r="C87" s="11"/>
      <c r="D87" s="4"/>
      <c r="E87" s="2"/>
      <c r="F87" s="2"/>
      <c r="G87" s="16">
        <v>14.117699999999999</v>
      </c>
      <c r="H87" s="16">
        <v>14.322800000000001</v>
      </c>
      <c r="K87" s="25"/>
      <c r="L87" s="19"/>
      <c r="M87" s="15"/>
      <c r="N87" s="19"/>
      <c r="O87" s="20"/>
      <c r="P87" s="21"/>
    </row>
    <row r="88" spans="1:16" x14ac:dyDescent="0.2">
      <c r="A88" s="7"/>
      <c r="B88" s="8"/>
      <c r="C88" s="11"/>
      <c r="D88" s="4"/>
      <c r="E88" s="2"/>
      <c r="F88" s="2"/>
      <c r="G88" s="16">
        <v>14.0878</v>
      </c>
      <c r="H88" s="16">
        <v>13.664199999999999</v>
      </c>
      <c r="K88" s="25"/>
      <c r="L88" s="19"/>
      <c r="M88" s="15"/>
      <c r="N88" s="19"/>
      <c r="O88" s="20"/>
      <c r="P88" s="21"/>
    </row>
    <row r="89" spans="1:16" x14ac:dyDescent="0.2">
      <c r="A89" s="7"/>
      <c r="B89" s="8"/>
      <c r="C89" s="11"/>
      <c r="D89" s="4"/>
      <c r="E89" s="2"/>
      <c r="F89" s="2"/>
      <c r="G89" s="16">
        <v>14.0878</v>
      </c>
      <c r="H89" s="16">
        <v>13.664199999999999</v>
      </c>
      <c r="K89" s="25"/>
      <c r="L89" s="19"/>
      <c r="M89" s="15"/>
      <c r="N89" s="19"/>
      <c r="O89" s="20"/>
      <c r="P89" s="21"/>
    </row>
    <row r="90" spans="1:16" x14ac:dyDescent="0.2">
      <c r="A90" s="7"/>
      <c r="B90" s="8"/>
      <c r="C90" s="11"/>
      <c r="D90" s="4"/>
      <c r="E90" s="2" t="s">
        <v>3</v>
      </c>
      <c r="F90" s="2"/>
      <c r="G90" s="16">
        <v>13.335699999999999</v>
      </c>
      <c r="H90" s="16">
        <v>13.4252</v>
      </c>
      <c r="K90" s="19">
        <f t="shared" ref="K90:L90" si="16">AVERAGE(G90:G94)</f>
        <v>12.456300000000002</v>
      </c>
      <c r="L90" s="25">
        <f t="shared" si="16"/>
        <v>11.300140000000001</v>
      </c>
      <c r="M90" s="15"/>
      <c r="N90" s="19"/>
      <c r="O90" s="20"/>
      <c r="P90" s="21"/>
    </row>
    <row r="91" spans="1:16" x14ac:dyDescent="0.2">
      <c r="A91" s="7"/>
      <c r="B91" s="8"/>
      <c r="C91" s="11"/>
      <c r="D91" s="4"/>
      <c r="E91" s="2"/>
      <c r="F91" s="2"/>
      <c r="G91" s="16">
        <v>11.3713</v>
      </c>
      <c r="H91" s="16">
        <v>8.9672999999999998</v>
      </c>
      <c r="K91" s="19"/>
      <c r="L91" s="25"/>
      <c r="M91" s="15"/>
      <c r="N91" s="19"/>
      <c r="O91" s="20"/>
      <c r="P91" s="21"/>
    </row>
    <row r="92" spans="1:16" x14ac:dyDescent="0.2">
      <c r="A92" s="7"/>
      <c r="B92" s="8"/>
      <c r="C92" s="11"/>
      <c r="D92" s="4"/>
      <c r="E92" s="2"/>
      <c r="F92" s="2"/>
      <c r="G92" s="16">
        <v>12.8209</v>
      </c>
      <c r="H92" s="16">
        <v>12.610200000000001</v>
      </c>
      <c r="K92" s="19"/>
      <c r="L92" s="25"/>
      <c r="M92" s="15"/>
      <c r="N92" s="19"/>
      <c r="O92" s="20"/>
      <c r="P92" s="21"/>
    </row>
    <row r="93" spans="1:16" x14ac:dyDescent="0.2">
      <c r="A93" s="7"/>
      <c r="B93" s="8"/>
      <c r="C93" s="11"/>
      <c r="D93" s="4"/>
      <c r="E93" s="2"/>
      <c r="F93" s="2"/>
      <c r="G93" s="16">
        <v>12.376799999999999</v>
      </c>
      <c r="H93" s="16">
        <v>10.749000000000001</v>
      </c>
      <c r="K93" s="19"/>
      <c r="L93" s="25"/>
      <c r="M93" s="15"/>
      <c r="N93" s="19"/>
      <c r="O93" s="20"/>
      <c r="P93" s="21"/>
    </row>
    <row r="94" spans="1:16" x14ac:dyDescent="0.2">
      <c r="A94" s="7"/>
      <c r="B94" s="8"/>
      <c r="C94" s="11"/>
      <c r="D94" s="4"/>
      <c r="E94" s="2"/>
      <c r="F94" s="2"/>
      <c r="G94" s="16">
        <v>12.376799999999999</v>
      </c>
      <c r="H94" s="16">
        <v>10.749000000000001</v>
      </c>
      <c r="K94" s="19"/>
      <c r="L94" s="25"/>
      <c r="M94" s="15"/>
      <c r="N94" s="19"/>
      <c r="O94" s="20"/>
      <c r="P94" s="21"/>
    </row>
    <row r="95" spans="1:16" x14ac:dyDescent="0.2">
      <c r="A95" s="7"/>
      <c r="B95" s="8"/>
      <c r="C95" s="11"/>
      <c r="D95" s="4"/>
      <c r="E95" s="2" t="s">
        <v>4</v>
      </c>
      <c r="F95" s="2"/>
      <c r="G95" s="16">
        <v>12.7348</v>
      </c>
      <c r="H95" s="16">
        <v>10.4292</v>
      </c>
      <c r="K95" s="19">
        <f t="shared" ref="K95:L95" si="17">AVERAGE(G95:G99)</f>
        <v>12.09632</v>
      </c>
      <c r="L95" s="25">
        <f t="shared" si="17"/>
        <v>11.63288</v>
      </c>
      <c r="M95" s="15"/>
      <c r="N95" s="19"/>
      <c r="O95" s="20"/>
      <c r="P95" s="21"/>
    </row>
    <row r="96" spans="1:16" x14ac:dyDescent="0.2">
      <c r="A96" s="7"/>
      <c r="B96" s="8"/>
      <c r="C96" s="11"/>
      <c r="D96" s="4"/>
      <c r="E96" s="2"/>
      <c r="F96" s="2"/>
      <c r="G96" s="16">
        <v>11.614800000000001</v>
      </c>
      <c r="H96" s="16">
        <v>10.778600000000001</v>
      </c>
      <c r="K96" s="19"/>
      <c r="L96" s="25"/>
      <c r="M96" s="15"/>
      <c r="N96" s="19"/>
      <c r="O96" s="20"/>
      <c r="P96" s="21"/>
    </row>
    <row r="97" spans="1:16" x14ac:dyDescent="0.2">
      <c r="A97" s="7"/>
      <c r="B97" s="8"/>
      <c r="C97" s="11"/>
      <c r="D97" s="4"/>
      <c r="E97" s="2"/>
      <c r="F97" s="2"/>
      <c r="G97" s="16">
        <v>11.500400000000001</v>
      </c>
      <c r="H97" s="16">
        <v>11.5936</v>
      </c>
      <c r="K97" s="19"/>
      <c r="L97" s="25"/>
      <c r="M97" s="15"/>
      <c r="N97" s="19"/>
      <c r="O97" s="20"/>
      <c r="P97" s="21"/>
    </row>
    <row r="98" spans="1:16" x14ac:dyDescent="0.2">
      <c r="A98" s="7"/>
      <c r="B98" s="8"/>
      <c r="C98" s="11"/>
      <c r="D98" s="4"/>
      <c r="E98" s="2"/>
      <c r="F98" s="2"/>
      <c r="G98" s="16">
        <v>12.315799999999999</v>
      </c>
      <c r="H98" s="16">
        <v>12.6815</v>
      </c>
      <c r="K98" s="19"/>
      <c r="L98" s="25"/>
      <c r="M98" s="15"/>
      <c r="N98" s="19"/>
      <c r="O98" s="20"/>
      <c r="P98" s="21"/>
    </row>
    <row r="99" spans="1:16" x14ac:dyDescent="0.2">
      <c r="A99" s="7"/>
      <c r="B99" s="8"/>
      <c r="C99" s="11"/>
      <c r="D99" s="4"/>
      <c r="E99" s="2"/>
      <c r="F99" s="2"/>
      <c r="G99" s="16">
        <v>12.315799999999999</v>
      </c>
      <c r="H99" s="16">
        <v>12.6815</v>
      </c>
      <c r="K99" s="19"/>
      <c r="L99" s="25"/>
      <c r="M99" s="15"/>
      <c r="N99" s="19"/>
      <c r="O99" s="20"/>
      <c r="P99" s="21"/>
    </row>
    <row r="100" spans="1:16" x14ac:dyDescent="0.2">
      <c r="A100" s="7"/>
      <c r="B100" s="8"/>
      <c r="C100" s="11"/>
      <c r="D100" s="4"/>
      <c r="E100" s="2" t="s">
        <v>5</v>
      </c>
      <c r="F100" s="2"/>
      <c r="G100" s="16">
        <v>13.884600000000001</v>
      </c>
      <c r="H100" s="16">
        <v>13.6074</v>
      </c>
      <c r="K100" s="25">
        <f t="shared" ref="K100:L100" si="18">AVERAGE(G100:G104)</f>
        <v>12.84648</v>
      </c>
      <c r="L100" s="19">
        <f t="shared" si="18"/>
        <v>13.403960000000001</v>
      </c>
      <c r="M100" s="15"/>
      <c r="N100" s="19"/>
      <c r="O100" s="20"/>
      <c r="P100" s="21"/>
    </row>
    <row r="101" spans="1:16" x14ac:dyDescent="0.2">
      <c r="A101" s="7"/>
      <c r="B101" s="8"/>
      <c r="C101" s="11"/>
      <c r="D101" s="4"/>
      <c r="E101" s="2"/>
      <c r="F101" s="2"/>
      <c r="G101" s="16">
        <v>13.7515</v>
      </c>
      <c r="H101" s="16">
        <v>12.8765</v>
      </c>
      <c r="K101" s="25"/>
      <c r="L101" s="19"/>
      <c r="M101" s="15"/>
      <c r="N101" s="19"/>
      <c r="O101" s="20"/>
      <c r="P101" s="21"/>
    </row>
    <row r="102" spans="1:16" x14ac:dyDescent="0.2">
      <c r="A102" s="7"/>
      <c r="B102" s="8"/>
      <c r="C102" s="11"/>
      <c r="D102" s="4"/>
      <c r="E102" s="2"/>
      <c r="F102" s="2"/>
      <c r="G102" s="16">
        <v>12.9673</v>
      </c>
      <c r="H102" s="16">
        <v>12.890700000000001</v>
      </c>
      <c r="K102" s="25"/>
      <c r="L102" s="19"/>
      <c r="M102" s="15"/>
      <c r="N102" s="19"/>
      <c r="O102" s="20"/>
      <c r="P102" s="21"/>
    </row>
    <row r="103" spans="1:16" x14ac:dyDescent="0.2">
      <c r="A103" s="7"/>
      <c r="B103" s="8"/>
      <c r="C103" s="11"/>
      <c r="D103" s="4"/>
      <c r="E103" s="2"/>
      <c r="F103" s="2"/>
      <c r="G103" s="16">
        <v>11.814500000000001</v>
      </c>
      <c r="H103" s="16">
        <v>13.8226</v>
      </c>
      <c r="K103" s="25"/>
      <c r="L103" s="19"/>
      <c r="M103" s="15"/>
      <c r="N103" s="19"/>
      <c r="O103" s="20"/>
      <c r="P103" s="21"/>
    </row>
    <row r="104" spans="1:16" x14ac:dyDescent="0.2">
      <c r="A104" s="7"/>
      <c r="B104" s="8"/>
      <c r="C104" s="11"/>
      <c r="D104" s="4"/>
      <c r="E104" s="2"/>
      <c r="F104" s="2"/>
      <c r="G104" s="16">
        <v>11.814500000000001</v>
      </c>
      <c r="H104" s="16">
        <v>13.8226</v>
      </c>
      <c r="K104" s="25"/>
      <c r="L104" s="19"/>
      <c r="M104" s="15"/>
      <c r="N104" s="19"/>
      <c r="O104" s="20"/>
      <c r="P104" s="21"/>
    </row>
    <row r="105" spans="1:16" x14ac:dyDescent="0.2">
      <c r="A105" s="7"/>
      <c r="B105" s="8"/>
      <c r="C105" s="11"/>
      <c r="D105" s="4"/>
      <c r="E105" s="2" t="s">
        <v>6</v>
      </c>
      <c r="F105" s="2"/>
      <c r="G105" s="16">
        <v>12.141999999999999</v>
      </c>
      <c r="H105" s="16">
        <v>14.0047</v>
      </c>
      <c r="K105" s="25">
        <f t="shared" ref="K105:L105" si="19">AVERAGE(G105:G109)</f>
        <v>13.371620000000002</v>
      </c>
      <c r="L105" s="19">
        <f t="shared" si="19"/>
        <v>13.852200000000002</v>
      </c>
      <c r="M105" s="15"/>
      <c r="N105" s="19"/>
      <c r="O105" s="20"/>
      <c r="P105" s="21"/>
    </row>
    <row r="106" spans="1:16" x14ac:dyDescent="0.2">
      <c r="A106" s="7"/>
      <c r="B106" s="8"/>
      <c r="C106" s="11"/>
      <c r="D106" s="4"/>
      <c r="E106" s="2"/>
      <c r="F106" s="2"/>
      <c r="G106" s="16">
        <v>12.7613</v>
      </c>
      <c r="H106" s="16">
        <v>13.245100000000001</v>
      </c>
      <c r="K106" s="25"/>
      <c r="L106" s="19"/>
      <c r="M106" s="15"/>
      <c r="N106" s="19"/>
      <c r="O106" s="20"/>
      <c r="P106" s="21"/>
    </row>
    <row r="107" spans="1:16" x14ac:dyDescent="0.2">
      <c r="A107" s="7"/>
      <c r="B107" s="8"/>
      <c r="C107" s="11"/>
      <c r="D107" s="4"/>
      <c r="E107" s="2"/>
      <c r="F107" s="2"/>
      <c r="G107" s="16">
        <v>13.9018</v>
      </c>
      <c r="H107" s="16">
        <v>14.016999999999999</v>
      </c>
      <c r="K107" s="25"/>
      <c r="L107" s="19"/>
      <c r="M107" s="15"/>
      <c r="N107" s="19"/>
      <c r="O107" s="20"/>
      <c r="P107" s="21"/>
    </row>
    <row r="108" spans="1:16" x14ac:dyDescent="0.2">
      <c r="A108" s="7"/>
      <c r="B108" s="8"/>
      <c r="C108" s="11"/>
      <c r="D108" s="4"/>
      <c r="E108" s="2"/>
      <c r="F108" s="2"/>
      <c r="G108" s="16">
        <v>14.0265</v>
      </c>
      <c r="H108" s="16">
        <v>13.9971</v>
      </c>
      <c r="K108" s="25"/>
      <c r="L108" s="19"/>
      <c r="M108" s="15"/>
      <c r="N108" s="19"/>
      <c r="O108" s="20"/>
      <c r="P108" s="21"/>
    </row>
    <row r="109" spans="1:16" x14ac:dyDescent="0.2">
      <c r="A109" s="9"/>
      <c r="B109" s="10"/>
      <c r="C109" s="12"/>
      <c r="D109" s="13"/>
      <c r="E109" s="2"/>
      <c r="F109" s="2"/>
      <c r="G109" s="16">
        <v>14.0265</v>
      </c>
      <c r="H109" s="16">
        <v>13.9971</v>
      </c>
      <c r="K109" s="25"/>
      <c r="L109" s="19"/>
      <c r="M109" s="15"/>
      <c r="N109" s="19"/>
      <c r="O109" s="20"/>
      <c r="P109" s="21"/>
    </row>
  </sheetData>
  <mergeCells count="92">
    <mergeCell ref="E105:F109"/>
    <mergeCell ref="K105:K109"/>
    <mergeCell ref="L105:L109"/>
    <mergeCell ref="E95:F99"/>
    <mergeCell ref="K95:K99"/>
    <mergeCell ref="L95:L99"/>
    <mergeCell ref="E100:F104"/>
    <mergeCell ref="K100:K104"/>
    <mergeCell ref="L100:L104"/>
    <mergeCell ref="E85:F89"/>
    <mergeCell ref="K85:K89"/>
    <mergeCell ref="L85:L89"/>
    <mergeCell ref="E90:F94"/>
    <mergeCell ref="K90:K94"/>
    <mergeCell ref="L90:L94"/>
    <mergeCell ref="N60:N109"/>
    <mergeCell ref="E65:F69"/>
    <mergeCell ref="K65:K69"/>
    <mergeCell ref="L65:L69"/>
    <mergeCell ref="E70:F74"/>
    <mergeCell ref="K70:K74"/>
    <mergeCell ref="L70:L74"/>
    <mergeCell ref="E75:F79"/>
    <mergeCell ref="K75:K79"/>
    <mergeCell ref="L75:L79"/>
    <mergeCell ref="A60:B109"/>
    <mergeCell ref="C60:D84"/>
    <mergeCell ref="E60:F64"/>
    <mergeCell ref="K60:K64"/>
    <mergeCell ref="L60:L64"/>
    <mergeCell ref="M60:M109"/>
    <mergeCell ref="E80:F84"/>
    <mergeCell ref="K80:K84"/>
    <mergeCell ref="L80:L84"/>
    <mergeCell ref="C85:D109"/>
    <mergeCell ref="E50:F54"/>
    <mergeCell ref="K50:K54"/>
    <mergeCell ref="L50:L54"/>
    <mergeCell ref="E55:F59"/>
    <mergeCell ref="K55:K59"/>
    <mergeCell ref="L55:L59"/>
    <mergeCell ref="C35:D59"/>
    <mergeCell ref="E35:F39"/>
    <mergeCell ref="K35:K39"/>
    <mergeCell ref="L35:L39"/>
    <mergeCell ref="E40:F44"/>
    <mergeCell ref="K40:K44"/>
    <mergeCell ref="L40:L44"/>
    <mergeCell ref="E45:F49"/>
    <mergeCell ref="K45:K49"/>
    <mergeCell ref="L45:L49"/>
    <mergeCell ref="E25:F29"/>
    <mergeCell ref="K25:K29"/>
    <mergeCell ref="L25:L29"/>
    <mergeCell ref="E30:F34"/>
    <mergeCell ref="K30:K34"/>
    <mergeCell ref="L30:L34"/>
    <mergeCell ref="E15:F19"/>
    <mergeCell ref="K15:K19"/>
    <mergeCell ref="L15:L19"/>
    <mergeCell ref="E20:F24"/>
    <mergeCell ref="K20:K24"/>
    <mergeCell ref="L20:L24"/>
    <mergeCell ref="N5:N9"/>
    <mergeCell ref="O5:O109"/>
    <mergeCell ref="P5:P109"/>
    <mergeCell ref="A10:B59"/>
    <mergeCell ref="C10:D34"/>
    <mergeCell ref="E10:F14"/>
    <mergeCell ref="K10:K14"/>
    <mergeCell ref="L10:L14"/>
    <mergeCell ref="M10:M59"/>
    <mergeCell ref="N10:N59"/>
    <mergeCell ref="A5:B9"/>
    <mergeCell ref="C5:D9"/>
    <mergeCell ref="E5:F9"/>
    <mergeCell ref="K5:K9"/>
    <mergeCell ref="L5:L9"/>
    <mergeCell ref="M5:M9"/>
    <mergeCell ref="O1:P2"/>
    <mergeCell ref="K3:K4"/>
    <mergeCell ref="L3:L4"/>
    <mergeCell ref="M3:M4"/>
    <mergeCell ref="N3:N4"/>
    <mergeCell ref="O3:O4"/>
    <mergeCell ref="P3:P4"/>
    <mergeCell ref="A1:D4"/>
    <mergeCell ref="E1:F4"/>
    <mergeCell ref="G1:G4"/>
    <mergeCell ref="H1:H4"/>
    <mergeCell ref="K1:L2"/>
    <mergeCell ref="M1:N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PSNR Details (max-of-5)</vt:lpstr>
      <vt:lpstr>PSNR Details (median-of-5)</vt:lpstr>
      <vt:lpstr>PSNR Details (average-of-5)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Kaiming</dc:creator>
  <cp:lastModifiedBy>KaiMing Zhu</cp:lastModifiedBy>
  <dcterms:created xsi:type="dcterms:W3CDTF">2015-06-05T18:19:34Z</dcterms:created>
  <dcterms:modified xsi:type="dcterms:W3CDTF">2026-01-04T03:53:25Z</dcterms:modified>
</cp:coreProperties>
</file>